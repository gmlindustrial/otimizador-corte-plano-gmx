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mlestruturascombr.sharepoint.com/sites/GML/Shared Documents/6- PROJETOS 2026/119-MANGOTTEAUX 2026/LISTAS MANGOTTEAUX/"/>
    </mc:Choice>
  </mc:AlternateContent>
  <xr:revisionPtr revIDLastSave="8" documentId="8_{4DC845BD-62DF-4F59-87BE-361924907771}" xr6:coauthVersionLast="47" xr6:coauthVersionMax="47" xr10:uidLastSave="{AD24F26A-243B-47F1-80B8-141C7F3EE458}"/>
  <bookViews>
    <workbookView xWindow="-45" yWindow="-16320" windowWidth="29040" windowHeight="15720" xr2:uid="{49F6F2F8-47EE-44BC-93CA-F433413C37CF}"/>
  </bookViews>
  <sheets>
    <sheet name="Planilha1" sheetId="1" r:id="rId1"/>
    <sheet name="Planilha2" sheetId="2" r:id="rId2"/>
  </sheets>
  <definedNames>
    <definedName name="_xlnm._FilterDatabase" localSheetId="0" hidden="1">Planilha1!$A$6:$L$450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K14" i="1"/>
  <c r="K450" i="1"/>
  <c r="K449" i="1"/>
  <c r="K448" i="1"/>
  <c r="K442" i="1"/>
  <c r="K441" i="1"/>
  <c r="K440" i="1"/>
  <c r="K439" i="1"/>
  <c r="K426" i="1"/>
  <c r="K422" i="1"/>
  <c r="K421" i="1"/>
  <c r="K420" i="1"/>
  <c r="K419" i="1"/>
  <c r="K418" i="1"/>
  <c r="K417" i="1"/>
  <c r="K416" i="1"/>
  <c r="K415" i="1"/>
  <c r="K407" i="1"/>
  <c r="K406" i="1"/>
  <c r="K405" i="1"/>
  <c r="K393" i="1"/>
  <c r="K392" i="1"/>
  <c r="K391" i="1"/>
  <c r="K390" i="1"/>
  <c r="K389" i="1"/>
  <c r="K373" i="1"/>
  <c r="K372" i="1"/>
  <c r="K358" i="1"/>
  <c r="K357" i="1"/>
  <c r="K356" i="1"/>
  <c r="K355" i="1"/>
  <c r="K349" i="1"/>
  <c r="K348" i="1"/>
  <c r="K347" i="1"/>
  <c r="K346" i="1"/>
  <c r="K340" i="1"/>
  <c r="K339" i="1"/>
  <c r="K333" i="1"/>
  <c r="K332" i="1"/>
  <c r="K331" i="1"/>
  <c r="K330" i="1"/>
  <c r="K329" i="1"/>
  <c r="K323" i="1"/>
  <c r="K319" i="1"/>
  <c r="K318" i="1"/>
  <c r="K317" i="1"/>
  <c r="K307" i="1"/>
  <c r="K306" i="1"/>
  <c r="K298" i="1"/>
  <c r="K297" i="1"/>
  <c r="K291" i="1"/>
  <c r="K290" i="1"/>
  <c r="K289" i="1"/>
  <c r="K288" i="1"/>
  <c r="K287" i="1"/>
  <c r="K281" i="1"/>
  <c r="K280" i="1"/>
  <c r="K279" i="1"/>
  <c r="K278" i="1"/>
  <c r="K277" i="1"/>
  <c r="K271" i="1"/>
  <c r="K270" i="1"/>
  <c r="K266" i="1"/>
  <c r="K265" i="1"/>
  <c r="K246" i="1"/>
  <c r="K245" i="1"/>
  <c r="K244" i="1"/>
  <c r="K233" i="1"/>
  <c r="K232" i="1"/>
  <c r="K231" i="1"/>
  <c r="K225" i="1"/>
  <c r="K224" i="1"/>
  <c r="K223" i="1"/>
  <c r="K222" i="1"/>
  <c r="K221" i="1"/>
  <c r="K215" i="1"/>
  <c r="K214" i="1"/>
  <c r="K213" i="1"/>
  <c r="K212" i="1"/>
  <c r="K211" i="1"/>
  <c r="K205" i="1"/>
  <c r="K204" i="1"/>
  <c r="K200" i="1"/>
  <c r="K199" i="1"/>
  <c r="K191" i="1"/>
  <c r="K190" i="1"/>
  <c r="K189" i="1"/>
  <c r="K188" i="1"/>
  <c r="K187" i="1"/>
  <c r="K176" i="1"/>
  <c r="K175" i="1"/>
  <c r="K174" i="1"/>
  <c r="K173" i="1"/>
  <c r="K167" i="1"/>
  <c r="K166" i="1"/>
  <c r="K160" i="1"/>
  <c r="K159" i="1"/>
  <c r="K153" i="1"/>
  <c r="K152" i="1"/>
  <c r="K151" i="1"/>
  <c r="K150" i="1"/>
  <c r="K144" i="1"/>
  <c r="K143" i="1"/>
  <c r="K142" i="1"/>
  <c r="K141" i="1"/>
  <c r="K140" i="1"/>
  <c r="K134" i="1"/>
  <c r="K133" i="1"/>
  <c r="K126" i="1"/>
  <c r="K125" i="1"/>
  <c r="K124" i="1"/>
  <c r="K123" i="1"/>
  <c r="K122" i="1"/>
  <c r="K121" i="1"/>
  <c r="K115" i="1"/>
  <c r="K114" i="1"/>
  <c r="K113" i="1"/>
  <c r="K112" i="1"/>
  <c r="K111" i="1"/>
  <c r="K110" i="1"/>
  <c r="K104" i="1"/>
  <c r="K103" i="1"/>
  <c r="K102" i="1"/>
  <c r="K101" i="1"/>
  <c r="K100" i="1"/>
  <c r="K99" i="1"/>
  <c r="K72" i="1"/>
  <c r="K71" i="1"/>
  <c r="K70" i="1"/>
  <c r="K69" i="1"/>
  <c r="K63" i="1"/>
  <c r="K62" i="1"/>
  <c r="K61" i="1"/>
  <c r="K55" i="1"/>
  <c r="K54" i="1"/>
  <c r="K53" i="1"/>
  <c r="K52" i="1"/>
  <c r="K51" i="1"/>
  <c r="K45" i="1"/>
  <c r="K44" i="1"/>
  <c r="K43" i="1"/>
  <c r="K42" i="1"/>
  <c r="K33" i="1"/>
  <c r="K32" i="1"/>
  <c r="K31" i="1"/>
  <c r="K30" i="1"/>
  <c r="K24" i="1"/>
  <c r="K23" i="1"/>
  <c r="K22" i="1"/>
  <c r="K21" i="1"/>
  <c r="K20" i="1"/>
  <c r="K8" i="1"/>
</calcChain>
</file>

<file path=xl/sharedStrings.xml><?xml version="1.0" encoding="utf-8"?>
<sst xmlns="http://schemas.openxmlformats.org/spreadsheetml/2006/main" count="1584" uniqueCount="482">
  <si>
    <t>Projeto: MANGOTTEAUX – FORNO HTM01 – CALDEIRARIA</t>
  </si>
  <si>
    <t>Código: 109</t>
  </si>
  <si>
    <t>Módulo: 01</t>
  </si>
  <si>
    <t>Lista Principal: Projeto - MB-USB-HTM1-001-1001</t>
  </si>
  <si>
    <t xml:space="preserve"> Item </t>
  </si>
  <si>
    <t xml:space="preserve"> Módulo </t>
  </si>
  <si>
    <t xml:space="preserve"> Projeto Número</t>
  </si>
  <si>
    <t xml:space="preserve"> </t>
  </si>
  <si>
    <t xml:space="preserve"> Área</t>
  </si>
  <si>
    <t xml:space="preserve"> Qtde </t>
  </si>
  <si>
    <t xml:space="preserve"> Descrição</t>
  </si>
  <si>
    <t xml:space="preserve"> Material</t>
  </si>
  <si>
    <t xml:space="preserve"> Dimensão / Modelo </t>
  </si>
  <si>
    <t xml:space="preserve"> Peso Unit. (kg) </t>
  </si>
  <si>
    <t xml:space="preserve"> Peso Total (kg) </t>
  </si>
  <si>
    <t xml:space="preserve"> Observação</t>
  </si>
  <si>
    <t xml:space="preserve"> MB-USB-HTM1-001-1001 </t>
  </si>
  <si>
    <t xml:space="preserve"> Geral </t>
  </si>
  <si>
    <t xml:space="preserve"> Caldeiraria Módulo 01</t>
  </si>
  <si>
    <t xml:space="preserve"> SOLDADO</t>
  </si>
  <si>
    <t xml:space="preserve"> —</t>
  </si>
  <si>
    <t xml:space="preserve"> MB-USB-HTM1-001-1002</t>
  </si>
  <si>
    <t xml:space="preserve"> Perfil W150 x 18,0</t>
  </si>
  <si>
    <t xml:space="preserve"> ASTM A572 </t>
  </si>
  <si>
    <t xml:space="preserve"> MB-USB-HTM1-001-1013</t>
  </si>
  <si>
    <t xml:space="preserve"> MB-USB-HTM1-001-1014</t>
  </si>
  <si>
    <t xml:space="preserve"> MB-USB-HTM1-001-1015</t>
  </si>
  <si>
    <t xml:space="preserve"> Suporte</t>
  </si>
  <si>
    <t xml:space="preserve"> MB-USB-HTM1-001-1016</t>
  </si>
  <si>
    <t xml:space="preserve"> Quadro 03</t>
  </si>
  <si>
    <t xml:space="preserve"> MB-USB-HTM1-001-1017</t>
  </si>
  <si>
    <t xml:space="preserve"> Quadro Teto</t>
  </si>
  <si>
    <t xml:space="preserve"> MB-USB-HTM1-001-1019</t>
  </si>
  <si>
    <t xml:space="preserve"> Perfil U 6Pol. (3º Alma) </t>
  </si>
  <si>
    <t xml:space="preserve"> MB-USB-HTM1-001-1021</t>
  </si>
  <si>
    <t xml:space="preserve"> Reforço Inferior Maior</t>
  </si>
  <si>
    <t xml:space="preserve"> Reforço Inferior Menor</t>
  </si>
  <si>
    <t xml:space="preserve"> Chapa 6,4</t>
  </si>
  <si>
    <t xml:space="preserve"> ASTM A36</t>
  </si>
  <si>
    <t xml:space="preserve"> 101,6 × 3140</t>
  </si>
  <si>
    <t>Lista Principal: Projeto - MB-USB-HTM1-001-1002</t>
  </si>
  <si>
    <t xml:space="preserve"> Dimensão / Modelo</t>
  </si>
  <si>
    <t xml:space="preserve"> MB-USB-HTM1-001-1002 </t>
  </si>
  <si>
    <t xml:space="preserve"> Chapa</t>
  </si>
  <si>
    <t xml:space="preserve"> 6,4 × 2184 × 3000</t>
  </si>
  <si>
    <t xml:space="preserve"> 6,4 × 308 × 2489</t>
  </si>
  <si>
    <t xml:space="preserve"> 6,4 × 1239,5 × 2489 </t>
  </si>
  <si>
    <t xml:space="preserve"> MB-USB-HTM1-001-1004</t>
  </si>
  <si>
    <t xml:space="preserve"> MB-USB-HTM1-001-1008</t>
  </si>
  <si>
    <t xml:space="preserve"> MB-USB-HTM1-001-1010</t>
  </si>
  <si>
    <t xml:space="preserve"> Reforço Janela 03</t>
  </si>
  <si>
    <t xml:space="preserve"> Reforço Janela 04</t>
  </si>
  <si>
    <t xml:space="preserve"> 6,4 × 2489 × 3092,5 </t>
  </si>
  <si>
    <t xml:space="preserve"> Perfil L 76,2 × 76,2 × 9,5 </t>
  </si>
  <si>
    <t xml:space="preserve"> 6,4 × 2184 × 3099</t>
  </si>
  <si>
    <t>Lista Principal: Projeto - MB-USB-HTM1-001-1005</t>
  </si>
  <si>
    <t xml:space="preserve"> MB-USB-HTM1-001-1005 </t>
  </si>
  <si>
    <t xml:space="preserve"> ASTM A36 </t>
  </si>
  <si>
    <t>Lista Principal: Projeto - MB-USB-HTM1-001-1006</t>
  </si>
  <si>
    <t xml:space="preserve"> MB-USB-HTM1-001-1006 </t>
  </si>
  <si>
    <t>Lista Principal: Projeto - MB-USB-HTM1-001-1009 - 78 cj</t>
  </si>
  <si>
    <t xml:space="preserve"> MB-USB-HTM1-001-1007 </t>
  </si>
  <si>
    <t>Lista Principal: Projeto - MB-USB-HTM1-001-1010 - 04 cj</t>
  </si>
  <si>
    <t xml:space="preserve"> MB-USB-HTM1-001-1010 </t>
  </si>
  <si>
    <t>Lista Principal: Projeto - MB-USB-HTM1-001-1011 - 18 cj</t>
  </si>
  <si>
    <t xml:space="preserve"> MB-USB-HTM1-001-1011 </t>
  </si>
  <si>
    <t>Lista Principal: Projeto - MB-USB-HTM1-001-1012 - 20 cj</t>
  </si>
  <si>
    <t xml:space="preserve"> MB-USB-HTM1-001-1012 </t>
  </si>
  <si>
    <t>Lista Principal: Projeto - MB-USB-HTM1-001-1014 - 01 cj</t>
  </si>
  <si>
    <t xml:space="preserve"> MB-USB-HTM1-001-1014 </t>
  </si>
  <si>
    <t xml:space="preserve"> Perfil W150 × 18,0 </t>
  </si>
  <si>
    <t>Lista Principal: Projeto - MB-USB-HTM1-001-1015 - 01 cj</t>
  </si>
  <si>
    <t xml:space="preserve"> MB-USB-HTM1-001-1015 </t>
  </si>
  <si>
    <t xml:space="preserve"> 9,5 × 35 × 40</t>
  </si>
  <si>
    <t>Lista Principal: Projeto - MB-USB-HTM1-001-1016 - 78 cj</t>
  </si>
  <si>
    <t xml:space="preserve"> MB-USB-HTM1-001-1016 </t>
  </si>
  <si>
    <t>Lista Principal: Projeto - MB-USB-HTM1-001-1017 - XX cj</t>
  </si>
  <si>
    <t xml:space="preserve"> MB-USB-HTM1-001-1017 </t>
  </si>
  <si>
    <t>Lista Principal: Projeto - MB-USB-HTM1-001-1019 - 01 cj</t>
  </si>
  <si>
    <t xml:space="preserve"> MB-USB-HTM1-001-1019 </t>
  </si>
  <si>
    <t>Lista Principal: Projeto - MB-USB-HTM1-001-1021 - 01 cj</t>
  </si>
  <si>
    <t xml:space="preserve"> MB-USB-HTM1-001-1021 </t>
  </si>
  <si>
    <t xml:space="preserve"> Perfil U 6Pol. (1º Alma) </t>
  </si>
  <si>
    <t>Lista Principal: Projeto - MB-USB-HTM1-001-1022 - 01 cj</t>
  </si>
  <si>
    <t xml:space="preserve"> MB-USB-HTM1-001-1022 </t>
  </si>
  <si>
    <t>Lista Principal: Projeto - MB-USB-HTM1-001-1024 - 10 cj</t>
  </si>
  <si>
    <t xml:space="preserve"> MB-USB-HTM1-001-1024 </t>
  </si>
  <si>
    <t xml:space="preserve"> 6,35 × 790 × 2190 </t>
  </si>
  <si>
    <t xml:space="preserve"> Cantoneira L 63,5 × 63,5 </t>
  </si>
  <si>
    <t>_________________________________________________________________</t>
  </si>
  <si>
    <t>Módulo: 02</t>
  </si>
  <si>
    <t>Lista Principal: Projeto - MB-USB-HTM1-001-2001 - 01 cj</t>
  </si>
  <si>
    <t xml:space="preserve"> MB-USB-HTM1-001-2001 </t>
  </si>
  <si>
    <t xml:space="preserve"> Caldeiraria Módulo 02</t>
  </si>
  <si>
    <t xml:space="preserve"> Perfil W150 × 18,0</t>
  </si>
  <si>
    <t xml:space="preserve"> 38,1 × 310 × 498</t>
  </si>
  <si>
    <t xml:space="preserve"> 38,1 × 300 × 498</t>
  </si>
  <si>
    <t xml:space="preserve"> 3251 (D/E)</t>
  </si>
  <si>
    <t xml:space="preserve"> MB-USB</t>
  </si>
  <si>
    <t>Lista Principal: Projeto - MB-USB-HTM1-001-2002 - 01 cj</t>
  </si>
  <si>
    <t xml:space="preserve"> MB-USB-HTM1-001-2002 </t>
  </si>
  <si>
    <t xml:space="preserve"> 6,4 × 2184 × 3251 </t>
  </si>
  <si>
    <t xml:space="preserve"> 6,4 × 2489 × 3251 </t>
  </si>
  <si>
    <t xml:space="preserve"> 6,4 × 2489 × 3152 </t>
  </si>
  <si>
    <t>Lista Principal: Projeto - MB-USB-HTM1-001-2015 - 02 cj</t>
  </si>
  <si>
    <t xml:space="preserve"> MB-USB-HTM1-001-2015 </t>
  </si>
  <si>
    <t>Lista Principal: Projeto - MB-USB-HTM1-001-2016 - 01 cj</t>
  </si>
  <si>
    <t xml:space="preserve"> MB-USB-HTM1-001-2016 </t>
  </si>
  <si>
    <t>Lista Principal: Projeto - MB-USB-HTM1-001-2017 - 05 cj</t>
  </si>
  <si>
    <t xml:space="preserve"> MB-USB-HTM1-001-2017 </t>
  </si>
  <si>
    <t xml:space="preserve"> 12,7 × 102 × 470</t>
  </si>
  <si>
    <t>____________________________________________________________________</t>
  </si>
  <si>
    <t>Módulo: 03</t>
  </si>
  <si>
    <t>Lista Principal: Projeto - MB-USB-HTM1-001-3001 - 05 cj</t>
  </si>
  <si>
    <t xml:space="preserve"> MB-USB-HTM1-001-3001 </t>
  </si>
  <si>
    <t xml:space="preserve"> Quadro 04</t>
  </si>
  <si>
    <t xml:space="preserve"> Conjunto M. Francesa</t>
  </si>
  <si>
    <t xml:space="preserve"> Caldeiraria Módulo 03</t>
  </si>
  <si>
    <t xml:space="preserve"> Quadro 11</t>
  </si>
  <si>
    <t xml:space="preserve"> 6,4 × 101,6 × 3241 </t>
  </si>
  <si>
    <t>Lista Principal: Projeto - MB-USB-HTM1-001-3002 - 01 cj</t>
  </si>
  <si>
    <t xml:space="preserve"> MB-USB-HTM1-001-3002 </t>
  </si>
  <si>
    <t>Lista Principal: Projeto - MB-USB-HTM1-001-3004 - 01 cj</t>
  </si>
  <si>
    <t xml:space="preserve"> MB-USB-HTM1-001-3004 </t>
  </si>
  <si>
    <t>Lista Principal: Projeto - MB-USB-HTM1-001-3005 - 01 cj</t>
  </si>
  <si>
    <t xml:space="preserve"> MB-USB-HTM1-001-3005 </t>
  </si>
  <si>
    <t>Lista Principal: Projeto - MB-USB-HTM1-001-3006 - 01 cj</t>
  </si>
  <si>
    <t xml:space="preserve"> MB-USB-HTM1-001-3006 </t>
  </si>
  <si>
    <t>Módulo: 04</t>
  </si>
  <si>
    <t>Lista Principal: Projeto - MB-USB-HTM1-001-4001 - 01 cj</t>
  </si>
  <si>
    <t xml:space="preserve"> MB-USB-HTM1-001-4001 </t>
  </si>
  <si>
    <t xml:space="preserve"> Caldeiraria Módulo 04</t>
  </si>
  <si>
    <t xml:space="preserve"> Quadro 06</t>
  </si>
  <si>
    <t xml:space="preserve"> Travessa 04</t>
  </si>
  <si>
    <t xml:space="preserve"> Quadro 07</t>
  </si>
  <si>
    <t>Lista Principal: Projeto - MB-USB-HTM1-001-4002 - 01 cj</t>
  </si>
  <si>
    <t xml:space="preserve"> MB-USB-HTM1-001-4002 </t>
  </si>
  <si>
    <t>Lista Principal: Projeto - MB-USB-HTM1-001-4004 - 01 cj</t>
  </si>
  <si>
    <t xml:space="preserve"> MB-USB-HTM1-001-4004 </t>
  </si>
  <si>
    <t>Lista Principal: Projeto - MB-USB-HTM1-001-4005 - 01 cj</t>
  </si>
  <si>
    <t xml:space="preserve"> MB-USB-HTM1-001-4005 </t>
  </si>
  <si>
    <t>Lista Principal: Projeto - MB-USB-HTM1-001-4006 - 02 cj</t>
  </si>
  <si>
    <t xml:space="preserve"> MB-USB-HTM1-001-4006 </t>
  </si>
  <si>
    <t>Lista Principal: Projeto - MB-USB-HTM1-001-4007 - 04 cj</t>
  </si>
  <si>
    <t xml:space="preserve"> MB-USB-HTM1-001-4007 </t>
  </si>
  <si>
    <t>______________________________________________________</t>
  </si>
  <si>
    <t>Módulo: 05</t>
  </si>
  <si>
    <t>Lista Principal: Projeto - MB-USB-HTM1-001-5001 - 01 cj</t>
  </si>
  <si>
    <t xml:space="preserve"> MB-USB-HTM1-001-5001 </t>
  </si>
  <si>
    <t xml:space="preserve"> Quadro 08</t>
  </si>
  <si>
    <t xml:space="preserve"> Caldeiraria Módulo 05</t>
  </si>
  <si>
    <t>Lista Principal: Projeto - MB-USB-HTM1-001-5002 - 01 cj</t>
  </si>
  <si>
    <t xml:space="preserve"> MB-USB-HTM1-001-5002 </t>
  </si>
  <si>
    <t xml:space="preserve"> 6,4 × 481 × 2489</t>
  </si>
  <si>
    <t>Módulo: 06</t>
  </si>
  <si>
    <t>Lista Principal: Projeto - MB-USB-HTM1-001-6001 - 01 cj</t>
  </si>
  <si>
    <t xml:space="preserve"> MB-USB-HTM1-001-6001 </t>
  </si>
  <si>
    <t xml:space="preserve"> Caldeiraria Módulo 06 </t>
  </si>
  <si>
    <t xml:space="preserve"> Reforço Inferior-6</t>
  </si>
  <si>
    <t xml:space="preserve"> Quadro 09</t>
  </si>
  <si>
    <t xml:space="preserve"> 6,4 × 101,6 × 1820 </t>
  </si>
  <si>
    <t>Lista Principal: Projeto - MB-USB-HTM1-001-6002 - 01 cj</t>
  </si>
  <si>
    <t xml:space="preserve"> MB-USB-HTM1-001-6002 </t>
  </si>
  <si>
    <t xml:space="preserve"> 6,4 × 1778 × 1937</t>
  </si>
  <si>
    <t xml:space="preserve"> 6,4 × 1778 × 2489</t>
  </si>
  <si>
    <t xml:space="preserve"> 6,4 × 429,5 × 2489 </t>
  </si>
  <si>
    <t xml:space="preserve"> 6,4 × 45 × 2489</t>
  </si>
  <si>
    <t xml:space="preserve"> 6,4 × 1658 × 2489</t>
  </si>
  <si>
    <t>Lista Principal: Projeto - MB-USB-HTM1-001-6006 - 02 cj</t>
  </si>
  <si>
    <t xml:space="preserve"> MB-USB-HTM1-001-6006 </t>
  </si>
  <si>
    <t xml:space="preserve"> 9,5 × 124 × 591</t>
  </si>
  <si>
    <t xml:space="preserve"> 9,5 × 77 × 800</t>
  </si>
  <si>
    <t xml:space="preserve"> 9,5 × 129 × 725</t>
  </si>
  <si>
    <t xml:space="preserve"> 9,5 × 124 × 800</t>
  </si>
  <si>
    <t>Lista Principal: Projeto - MB-USB-HTM1-001-6009 - 01 cj</t>
  </si>
  <si>
    <t xml:space="preserve"> MB-USB-HTM1-001-6009 </t>
  </si>
  <si>
    <t>| Item | Módulo | Projeto Número       | Área  | Qtde | Descrição                | Material  | Dimensão / Modelo | Peso Unit. (kg) | Peso Total (kg) | Observação           |</t>
  </si>
  <si>
    <t>| ---- | ------ | -------------------- | ----- | ---- | ------------------------ | --------- | ----------------- | --------------- | --------------- | -------------------- |</t>
  </si>
  <si>
    <t>| 1    | 01     | MB-USB-HTM1-001-1001 | Geral | 1    | Caldeiraria Módulo 01    | SOLDADO   | —                 | 1747,2          | 1747,2          | MB-USB-HTM1-001-1002 |</t>
  </si>
  <si>
    <t>| 2    | 01     | MB-USB-HTM1-001-1001 | Geral | 2    | Perfil W150 x 18,0       | ASTM A572 | 3150              | 57,7            | 115,4           | MB-USB-HTM1-001-1013 |</t>
  </si>
  <si>
    <t>| 3    | 01     | MB-USB-HTM1-001-1001 | Geral | 1    | Quadro 01                | SOLDADO   | —                 | 209,7           | 209,7           | MB-USB-HTM1-001-1014 |</t>
  </si>
  <si>
    <t>| 4    | 01     | MB-USB-HTM1-001-1001 | Geral | 1    | Quadro 02                | SOLDADO   | —                 | 210,5           | 210,5           | MB-USB-HTM1-001-1015 |</t>
  </si>
  <si>
    <t>| 5    | 01     | MB-USB-HTM1-001-1001 | Geral | 10   | Suporte                  | SOLDADO   | —                 | 3,7             | 37,4            | MB-USB-HTM1-001-1016 |</t>
  </si>
  <si>
    <t>| 6    | 01     | MB-USB-HTM1-001-1001 | Geral | 1    | Quadro 03                | SOLDADO   | —                 | 118,5           | 118,5           | MB-USB-HTM1-001-1017 |</t>
  </si>
  <si>
    <t>| 7    | 01     | MB-USB-HTM1-001-1001 | Geral | 2    | Quadro Teto              | SOLDADO   | —                 | 52,4            | 104,9           | MB-USB-HTM1-001-1019 |</t>
  </si>
  <si>
    <t>| 8    | 01     | MB-USB-HTM1-001-1001 | Geral | 2    | Perfil U 6Pol. (3º Alma) | ASTM A572 | 1952              | 37,7            | 75,4            | MB-USB-HTM1-001-1020 |</t>
  </si>
  <si>
    <t>| 9    | 01     | MB-USB-HTM1-001-1001 | Geral | 1    | Travessa 01              | SOLDADO   | —                 | 61,9            | 61,9            | MB-USB-HTM1-001-1021 |</t>
  </si>
  <si>
    <t>| 10   | 01     | MB-USB-HTM1-001-1001 | Geral | 1    | Travessa 02              | SOLDADO   | —                 | 62,0            | 62,0            | MB-USB-HTM1-001-1022 |</t>
  </si>
  <si>
    <t>| 11   | 01     | MB-USB-HTM1-001-1001 | Geral | 1    | Perfil U 6Pol. (3º Alma) | ASTM A572 | 1677              | 32,4            | 32,4            | MB-USB-HTM1-001-1023 |</t>
  </si>
  <si>
    <t>| 12   | 01     | MB-USB-HTM1-001-1001 | Geral | 3    | Reforço Inferior Maior   | ASTM A572 | —                 | 26,3            | 78,8            | MB-USB-HTM1-001-1025 |</t>
  </si>
  <si>
    <t>| 13   | 01     | MB-USB-HTM1-001-1001 | Geral | 3    | Reforço Inferior Menor   | ASTM A572 | —                 | 17,8            | 53,4            | MB-USB-HTM1-001-1026 |</t>
  </si>
  <si>
    <t>| 14   | 01     | MB-USB-HTM1-001-1001 | Geral | 2    | Perfil U 6Pol. (3º Alma) | ASTM A572 | 1618              | 18,7            | 37,4            | —                    |</t>
  </si>
  <si>
    <t>| 15   | 01     | MB-USB-HTM1-001-1001 | Geral | 2    | Perfil U 6Pol. (3º Alma) | ASTM A572 | 1467              | 16,9            | 33,8            | —                    |</t>
  </si>
  <si>
    <t>| 16   | 01     | MB-USB-HTM1-001-1001 | Geral | 4    | Perfil U 6Pol. (3º Alma) | ASTM A572 | 2200              | 26,1            | 104,4           | —                    |</t>
  </si>
  <si>
    <t>| 17   | 01     | MB-USB-HTM1-001-1001 | Geral | 2    | Perfil U 6Pol. (3º Alma) | ASTM A572 | 2808              | 33,3            | 66,6            | —                    |</t>
  </si>
  <si>
    <t>| 18   | 01     | MB-USB-HTM1-001-1001 | Geral | 2    | Chapa 6,4                | ASTM A36  | 101,6 × 3140      | 15,9            | 31,8            | —                    |</t>
  </si>
  <si>
    <t>| 19   | 01     | MB-USB-HTM1-001-1001 | Geral | 16   | DIN 126 – 13,5           | AÇO       | —                 | 0,0             | 1,0             | —                    |</t>
  </si>
  <si>
    <t>| 20   | 01     | MB-USB-HTM1-001-1001 | Geral | 16   | DIN 934 – M12            | C.L 12    | —                 | 0,0             | 0,3             | —                    |</t>
  </si>
  <si>
    <t>| 21   | 01     | MB-USB-HTM1-001-1001 | Geral | 16   | DIN 933 – M12 × 35       | C.L 12.9  | —                 | 0,0             | 0,8             | —                    |</t>
  </si>
  <si>
    <t>| 22   | 01     | MB-USB-HTM1-001-1001 | Geral | 20   | DIN 126 – 17,5           | AÇO       | —                 | 0,0             | 0,2             | —                    |</t>
  </si>
  <si>
    <t>| 23   | 01     | MB-USB-HTM1-001-1001 | Geral | 30   | DIN 934 – M16            | C.L 12    | —                 | 0,0             | 1,0             | —                    |</t>
  </si>
  <si>
    <t>| 24   | 01     | MB-USB-HTM1-001-1001 | Geral | 31   | DIN 933 – M16 × 45       | C.L 12.9  | —                 | 0,1             | 3,3             | —                    |</t>
  </si>
  <si>
    <t>| 25   | 01     | MB-USB-HTM1-001-1001 | Geral | 11   | DIN 434 – 17,5           | AÇO       | —                 | 0,0             | 0,3             | —                    |</t>
  </si>
  <si>
    <t>| Item | Módulo | Projeto Número       | Área  | Qtde | Descrição                  | Material  | Dimensão / Modelo   | Peso Unit. (kg) | Peso Total (kg) | Observação           |</t>
  </si>
  <si>
    <t>| ---- | ------ | -------------------- | ----- | ---- | -------------------------- | --------- | ------------------- | --------------- | --------------- | -------------------- |</t>
  </si>
  <si>
    <t>| 1    | 01     | MB-USB-HTM1-001-1002 | Geral | 1    | Chapa                      | ASTM A36  | 6,4 × 2184 × 3000   | 276,6           | 276,6           | MB-USB-HTM1-001-1003 |</t>
  </si>
  <si>
    <t>| 2    | 01     | MB-USB-HTM1-001-1002 | Geral | 1    | Chapa                      | ASTM A36  | 6,4 × 489 × 2662    | 330,3           | 330,3           | —                    |</t>
  </si>
  <si>
    <t>| 3    | 01     | MB-USB-HTM1-001-1002 | Geral | 1    | Chapa                      | ASTM A36  | 6,4 × 308 × 2489    | 38,4            | 38,4            | —                    |</t>
  </si>
  <si>
    <t>| 4    | 01     | MB-USB-HTM1-001-1002 | Geral | 1    | Chapa                      | ASTM A36  | 6,4 × 1239,5 × 2489 | 140,0           | 140,0           | MB-USB-HTM1-001-1004 |</t>
  </si>
  <si>
    <t>| 5    | 01     | MB-USB-HTM1-001-1002 | Geral | 2    | Apoio                      | SOLDADO   | —                   | 21,5            | 43,0            | MB-USB-HTM1-001-1006 |</t>
  </si>
  <si>
    <t>| 6    | 01     | MB-USB-HTM1-001-1002 | Geral | 1    | Flange de Saída            | SOLDADO   | —                   | 163,1           | 163,1           | MB-USB-HTM1-001-1005 |</t>
  </si>
  <si>
    <t>| 7    | 01     | MB-USB-HTM1-001-1002 | Geral | 2    | Apoio Engrenagem           | SOLDADO   | —                   | 30,7            | 61,5            | MB-USB-HTM1-001-1007 |</t>
  </si>
  <si>
    <t>| 8    | 01     | MB-USB-HTM1-001-1002 | Geral | 2    | Apoio Recortado            | SOLDADO   | —                   | 21,3            | 42,5            | MB-USB-HTM1-001-1008 |</t>
  </si>
  <si>
    <t>| 9    | 01     | MB-USB-HTM1-001-1002 | Geral | 10   | Reforço Janela 01          | SOLDADO   | —                   | 1,8             | 17,7            | MB-USB-HTM1-001-1009 |</t>
  </si>
  <si>
    <t>| 10   | 01     | MB-USB-HTM1-001-1002 | Geral | 2    | Quadro 02                  | SOLDADO   | —                   | 3,4             | 6,9             | MB-USB-HTM1-001-1010 |</t>
  </si>
  <si>
    <t>| 11   | 01     | MB-USB-HTM1-001-1002 | Geral | 2    | Reforço Janela 03          | SOLDADO   | —                   | 1,9             | 3,8             | MB-USB-HTM1-001-1011 |</t>
  </si>
  <si>
    <t>| 12   | 01     | MB-USB-HTM1-001-1002 | Geral | 2    | Reforço Janela 04          | SOLDADO   | —                   | 3,2             | 6,4             | MB-USB-HTM1-001-1012 |</t>
  </si>
  <si>
    <t>| 13   | 01     | MB-USB-HTM1-001-1002 | Geral | 1    | Chapa                      | ASTM A36  | 6,4 × 2489 × 3092,5 | 237,2           | 237,2           | MB-USB-HTM1-001-1018 |</t>
  </si>
  <si>
    <t>| 14   | 01     | MB-USB-HTM1-001-1002 | Geral | 2    | Perfil L 76,2 × 76,2 × 9,5 | ASTM A572 | 3092                | 27,8            | 55,6            | —                    |</t>
  </si>
  <si>
    <t>| 15   | 01     | MB-USB-HTM1-001-1002 | Geral | 2    | Perfil L 76,2 × 76,2 × 9,5 | ASTM A572 | 2656                | 23,9            | 47,7            | —                    |</t>
  </si>
  <si>
    <t>| 16   | 01     | MB-USB-HTM1-001-1002 | Geral | 1    | Chapa                      | ASTM A36  | 6,4 × 2184 × 3099   | 276,6           | 276,6           | MB-USB-HTM1-001-1003 |</t>
  </si>
  <si>
    <t>| Item | Módulo | Projeto Número       | Área  | Qtde | Descrição | Material | Dimensão / Modelo | Peso Unit. (kg) | Peso Total (kg) | Observação |</t>
  </si>
  <si>
    <t>| ---- | ------ | -------------------- | ----- | ---- | --------- | -------- | ----------------- | --------------- | --------------- | ---------- |</t>
  </si>
  <si>
    <t>| 1    | 01     | MB-USB-HTM1-001-1005 | Geral | 1    | Chapa     | ASTM A36 | 6,4 × 766 × 2489  | 38,7            | 38,7            | —          |</t>
  </si>
  <si>
    <t>| 2    | 01     | MB-USB-HTM1-001-1005 | Geral | 2    | Chapa     | ASTM A36 | 12,7 × 89 × 711   | 6,2             | 12,5            | —          |</t>
  </si>
  <si>
    <t>| 3    | 01     | MB-USB-HTM1-001-1005 | Geral | 2    | Chapa     | ASTM A36 | 12,7 × 89 × 2121  | 18,7            | 37,3            | —          |</t>
  </si>
  <si>
    <t>| 4    | 01     | MB-USB-HTM1-001-1005 | Geral | 2    | Chapa     | ASTM A36 | 12,7 × 140 × 559  | 7,8             | 15,6            | —          |</t>
  </si>
  <si>
    <t>| 5    | 01     | MB-USB-HTM1-001-1005 | Geral | 2    | Chapa     | ASTM A36 | 12,7 × 140 × 2121 | 29,5            | 59,1            | —          |</t>
  </si>
  <si>
    <t>| Item | Módulo | Projeto Número       | Área  | Qtde | Descrição | Material | Dimensão / Modelo    | Peso Unit. (kg) | Peso Total (kg) | Observação |</t>
  </si>
  <si>
    <t>| ---- | ------ | -------------------- | ----- | ---- | --------- | -------- | -------------------- | --------------- | --------------- | ---------- |</t>
  </si>
  <si>
    <t>| 1    | 01     | MB-USB-HTM1-001-1006 | Geral | 1    | Chapa     | ASTM A36 | 12,7 × 262,7 × 312,7 | 8,2             | 8,2             | —          |</t>
  </si>
  <si>
    <t>| 2    | 01     | MB-USB-HTM1-001-1006 | Geral | 1    | Chapa     | ASTM A36 | 12,7 × 87,3 × 312,7  | 2,7             | 2,7             | —          |</t>
  </si>
  <si>
    <t>| 3    | 01     | MB-USB-HTM1-001-1006 | Geral | 2    | Chapa     | ASTM A36 | 12,7 × 250 × 250     | 5,3             | 10,6            | —          |</t>
  </si>
  <si>
    <t>| Item | Módulo | Projeto Número       | Área  | Qtde | Descrição | Material | Dimensão / Modelo  | Peso Unit. (kg) | Peso Total (kg) | Observação |</t>
  </si>
  <si>
    <t>| ---- | ------ | -------------------- | ----- | ---- | --------- | -------- | ------------------ | --------------- | --------------- | ---------- |</t>
  </si>
  <si>
    <t>| 1    | 01     | MB-USB-HTM1-001-1007 | Geral | 2    | Chapa     | ASTM A36 | 9,5 × 124 × 552,5  | 5,1             | 10,2            | —          |</t>
  </si>
  <si>
    <t>| 2    | 01     | MB-USB-HTM1-001-1007 | Geral | 2    | Chapa     | ASTM A36 | 9,5 × 124 × 457,2  | 4,2             | 8,5             | —          |</t>
  </si>
  <si>
    <t>| 3    | 01     | MB-USB-HTM1-001-1007 | Geral | 2    | Chapa     | ASTM A36 | 9,5 × 71,4 × 680   | 3,6             | 7,1             | —          |</t>
  </si>
  <si>
    <t>| 4    | 01     | MB-USB-HTM1-001-1007 | Geral | 2    | Chapa     | ASTM A36 | 9,5 × 73,3 × 457,2 | 2,5             | 4,9             | —          |</t>
  </si>
  <si>
    <t>| 1    | 01     | MB-USB-HTM1-001-1010 | Geral | 2    | Barra     | ASTM A36 | 25,4 × 9,5 × 507,8 | 1,0             | 1,9             | —          |</t>
  </si>
  <si>
    <t>| 2    | 01     | MB-USB-HTM1-001-1010 | Geral | 2    | Barra     | ASTM A36 | 25,4 × 9,5 × 419   | 0,8             | 1,6             | —          |</t>
  </si>
  <si>
    <t>| 1    | 01     | MB-USB-HTM1-001-1011 | Geral | 2    | Barra     | ASTM A36 | 25,4 × 9,5 × 279,4 | 0,5             | 1,1             | —          |</t>
  </si>
  <si>
    <t>| 2    | 01     | MB-USB-HTM1-001-1011 | Geral | 2    | Barra     | ASTM A36 | 25,4 × 9,5 × 229   | 0,4             | 0,9             | —          |</t>
  </si>
  <si>
    <t>| 1    | 01     | MB-USB-HTM1-001-1012 | Geral | 2    | Barra     | ASTM A36 | 25,4 × 9,5 × 449,6 | 0,9             | 1,7             | —          |</t>
  </si>
  <si>
    <t>| 2    | 01     | MB-USB-HTM1-001-1012 | Geral | 2    | Barra     | ASTM A36 | 25,4 × 9,5 × 410,4 | 0,8             | 1,6             | —          |</t>
  </si>
  <si>
    <t>| Item | Módulo | Projeto Número       | Área  | Qtde | Descrição          | Material  | Dimensão / Modelo | Peso Unit. (kg) | Peso Total (kg) | Observação |</t>
  </si>
  <si>
    <t>| ---- | ------ | -------------------- | ----- | ---- | ------------------ | --------- | ----------------- | --------------- | --------------- | ---------- |</t>
  </si>
  <si>
    <t>| 1    | 01     | MB-USB-HTM1-001-1014 | Geral | 1    | Perfil W150 × 18,0 | ASTM A572 | 2890              | 51,6            | 51,6            | —          |</t>
  </si>
  <si>
    <t>| 2    | 01     | MB-USB-HTM1-001-1014 | Geral | 1    | Perfil W150 × 18,0 | ASTM A572 | 698               | 10,0            | 10,0            | —          |</t>
  </si>
  <si>
    <t>| 3    | 01     | MB-USB-HTM1-001-1014 | Geral | 1    | Perfil W150 × 18,0 | ASTM A572 | 2502              | 45,9            | 45,9            | —          |</t>
  </si>
  <si>
    <t>| 4    | 01     | MB-USB-HTM1-001-1014 | Geral | 1    | Perfil W150 × 18,0 | ASTM A572 | 2496              | 44,4            | 44,4            | —          |</t>
  </si>
  <si>
    <t>| 5    | 01     | MB-USB-HTM1-001-1014 | Geral | 1    | Perfil W150 × 18,0 | ASTM A572 | 2808              | 48,7            | 48,7            | —          |</t>
  </si>
  <si>
    <t>| 6    | 01     | MB-USB-HTM1-001-1014 | Geral | 1    | Perfil W150 × 18,0 | ASTM A572 | 498               | 9,1             | 9,1             | —          |</t>
  </si>
  <si>
    <t>| 1    | 01     | MB-USB-HTM1-001-1015 | Geral | 1    | Perfil W150 × 18,0 | ASTM A572 | 498               | 9,1             | 9,1             | —          |</t>
  </si>
  <si>
    <t>| 2    | 01     | MB-USB-HTM1-001-1015 | Geral | 1    | Perfil W150 × 18,0 | ASTM A572 | 698               | 10,0            | 10,0            | —          |</t>
  </si>
  <si>
    <t>| 3    | 01     | MB-USB-HTM1-001-1015 | Geral | 1    | Perfil W150 × 18,0 | ASTM A572 | 2808              | 48,7            | 48,7            | —          |</t>
  </si>
  <si>
    <t>| 4    | 01     | MB-USB-HTM1-001-1015 | Geral | 1    | Perfil W150 × 18,0 | ASTM A572 | 2502              | 45,9            | 45,9            | —          |</t>
  </si>
  <si>
    <t>| 5    | 01     | MB-USB-HTM1-001-1015 | Geral | 1    | Perfil W150 × 18,0 | ASTM A572 | 2890              | 51,5            | 51,5            | —          |</t>
  </si>
  <si>
    <t>| 6    | 01     | MB-USB-HTM1-001-1015 | Geral | 1    | Perfil W150 × 18,0 | ASTM A572 | 2496              | 44,3            | 44,3            | —          |</t>
  </si>
  <si>
    <t>| 7    | 01     | MB-USB-HTM1-001-1015 | Geral | 10   | Chapa              | ASTM A36  | 9,5 × 35 × 40     | 0,1             | 1,0             | —          |</t>
  </si>
  <si>
    <t>| 1    | 01     | MB-USB-HTM1-001-1016 | Geral | 2    | Chapa     | ASTM A36 | 6,4 × 150 × 206   | 1,0             | 2,0             | —          |</t>
  </si>
  <si>
    <t>| 2    | 01     | MB-USB-HTM1-001-1016 | Geral | 1    | Chapa     | ASTM A36 | 6,4 × 150 × 106   | 1,0             | 1,0             | —          |</t>
  </si>
  <si>
    <t>| Item | Módulo | Projeto Número       | Área  | Qtde | Descrição                | Material  | Dimensão / Modelo | Peso Unit. (kg) | Peso Total (kg) | Observação |</t>
  </si>
  <si>
    <t>| ---- | ------ | -------------------- | ----- | ---- | ------------------------ | --------- | ----------------- | --------------- | --------------- | ---------- |</t>
  </si>
  <si>
    <t>| 1    | 01     | MB-USB-HTM1-001-1017 | Geral | 1    | Perfil U 6Pol. (3º Alma) | ASTM A572 | 2502              | 29,6            | 29,6            | —          |</t>
  </si>
  <si>
    <t>| 2    | 01     | MB-USB-HTM1-001-1017 | Geral | 1    | Perfil U 6Pol. (3º Alma) | ASTM A572 | 2807              | 31,4            | 31,4            | —          |</t>
  </si>
  <si>
    <t>| 3    | 01     | MB-USB-HTM1-001-1017 | Geral | 1    | Perfil U 6Pol. (3º Alma) | ASTM A572 | 2495              | 28,6            | 28,6            | —          |</t>
  </si>
  <si>
    <t>| 4    | 01     | MB-USB-HTM1-001-1017 | Geral | 1    | Perfil U 6Pol. (3º Alma) | ASTM A572 | 2495              | 28,5            | 28,5            | —          |</t>
  </si>
  <si>
    <t>| 5    | 01     | MB-USB-HTM1-001-1017 | Geral | 5    | Chapa                    | ASTM A36  | 9,5 × 35 × 40     | 0,1             | 0,5             | —          |</t>
  </si>
  <si>
    <t>| 1    | 01     | MB-USB-HTM1-001-1019 | Geral | 2    | Chapa     | ASTM A36 | 6,4 × 94 × 713    | 3,3             | 6,7             | —          |</t>
  </si>
  <si>
    <t>| 2    | 01     | MB-USB-HTM1-001-1019 | Geral | 2    | Chapa     | ASTM A36 | 6,4 × 100 × 713   | 3,6             | 7,1             | —          |</t>
  </si>
  <si>
    <t>| 3    | 01     | MB-USB-HTM1-001-1019 | Geral | 2    | Chapa     | ASTM A36 | 6,4 × 94 × 2100   | 9,8             | 19,6            | —          |</t>
  </si>
  <si>
    <t>| 4    | 01     | MB-USB-HTM1-001-1019 | Geral | 2    | Chapa     | ASTM A36 | 6,4 × 100 × 1913  | 9,5             | 19,1            | —          |</t>
  </si>
  <si>
    <t>| 1    | 01     | MB-USB-HTM1-001-1021 | Geral | 1    | Perfil U 6Pol. (3º Alma) | ASTM A572 | 1677              | 32,4            | 32,4            | —          |</t>
  </si>
  <si>
    <t>| 2    | 01     | MB-USB-HTM1-001-1021 | Geral | 1    | Perfil U 6Pol. (1º Alma) | ASTM A572 | 1520              | 29,5            | 29,5            | —          |</t>
  </si>
  <si>
    <t>| 1    | 01     | MB-USB-HTM1-001-1022 | Geral | 1    | Perfil U 6Pol. (3º Alma) | ASTM A572 | 1677              | 32,5            | 32,5            | —          |</t>
  </si>
  <si>
    <t>| 2    | 01     | MB-USB-HTM1-001-1022 | Geral | 1    | Perfil U 6Pol. (1º Alma) | ASTM A572 | 1520              | 29,5            | 29,5            | —          |</t>
  </si>
  <si>
    <t>| Item | Módulo | Projeto Número       | Área  | Qtde | Descrição                | Material | Dimensão / Modelo | Peso Unit. (kg) | Peso Total (kg) | Observação |</t>
  </si>
  <si>
    <t>| ---- | ------ | -------------------- | ----- | ---- | ------------------------ | -------- | ----------------- | --------------- | --------------- | ---------- |</t>
  </si>
  <si>
    <t>| 1    | 01     | MB-USB-HTM1-001-1024 | Geral | 1    | Chapa                    | ASTM A36 | 6,35 × 790 × 2190 | 86,2            | 86,2            | —          |</t>
  </si>
  <si>
    <t>| 2    | 01     | MB-USB-HTM1-001-1024 | Geral | 2    | Cantoneira L 63,5 × 63,5 | ASTM A36 | 2190              | 13,0            | 26,1            | —          |</t>
  </si>
  <si>
    <t>| 3    | 01     | MB-USB-HTM1-001-1024 | Geral | 2    | Cantoneira L 63,5 × 63,5 | ASTM A36 | 790               | 4,6             | 9,1             | —          |</t>
  </si>
  <si>
    <t>| 4    | 01     | MB-USB-HTM1-001-1024 | Geral | 2    | Cantoneira L 63,5 × 63,5 | Genérico | 777               | 0,6             | 1,1             | —          |</t>
  </si>
  <si>
    <t>| 1    | 02     | MB-USB-HTM1-001-2001 | Geral | 1    | Caldeiraria Módulo 02    | SOLDADO   | —                 | 1442,8          | 1442,8          | MB-USB-HTM1-001-2002 |</t>
  </si>
  <si>
    <t>| 2    | 02     | MB-USB-HTM1-001-2001 | Geral | 16   | Suporte                  | SOLDADO   | —                 | 3,7             | 59,9            | MB-USB-HTM1-001-1016 |</t>
  </si>
  <si>
    <t>| 3    | 02     | MB-USB-HTM1-001-2001 | Geral | 2    | Quadro Teto              | SOLDADO   | —                 | 52,4            | 104,9           | MB-USB-HTM1-001-1019 |</t>
  </si>
  <si>
    <t>| 4    | 02     | MB-USB-HTM1-001-2001 | Geral | 2    | Perfil W150 × 18,0       | ASTM A572 | 3251              | 57,4            | 114,8           | MB-USB-HTM1-001-2005 |</t>
  </si>
  <si>
    <t>| 5    | 02     | MB-USB-HTM1-001-2001 | Geral | 1    | Chapa                    | ASTM A36  | 38,1 × 310 × 498  | 46,0            | 46,0            | MB-USB-HTM1-001-2006 |</t>
  </si>
  <si>
    <t>| 6    | 02     | MB-USB-HTM1-001-2001 | Geral | 1    | Chapa                    | ASTM A36  | 38,1 × 300 × 498  | 37,1            | 37,1            | MB-USB-HTM1-001-2007 |</t>
  </si>
  <si>
    <t>| 7    | 02     | MB-USB-HTM1-001-2001 | Geral | 2    | Perfil U 6Pol. (3º Alma) | ASTM A572 | 3251 (D/E)        | 63,0            | 126,1           | MB-USB-HTM1-001-2012 |</t>
  </si>
  <si>
    <t>| 8    | 02     | MB-USB-HTM1-001-2001 | Geral | 2    | Perfil U 6Pol. (3º Alma) | ASTM A572 | 3251 (D/E)        | 62,8            | 125,7           | MB-USB-HTM1-001-2013 |</t>
  </si>
  <si>
    <t>| 9    | 02     | MB-USB-HTM1-001-2001 | Geral | 1    | Quadro 03                | SOLDADO   | —                 | 118,4           | 118,4           | MB-USB-HTM1-001-2014 |</t>
  </si>
  <si>
    <t>| 10   | 02     | MB-USB               |       |      |                          |           |                   |                 |                 |                      |</t>
  </si>
  <si>
    <t>| Item | Módulo | Projeto Número       | Área  | Qtde | Descrição                  | Material  | Dimensão / Modelo | Peso Unit. (kg) | Peso Total (kg) | Observação           |</t>
  </si>
  <si>
    <t>| ---- | ------ | -------------------- | ----- | ---- | -------------------------- | --------- | ----------------- | --------------- | --------------- | -------------------- |</t>
  </si>
  <si>
    <t>| 1    | 02     | MB-USB-HTM1-001-2002 | Geral | 2    | Chapa                      | ASTM A36  | 6,4 × 2184 × 3251 | 308,5           | 617,0           | MB-USB-HTM1-001-2003 |</t>
  </si>
  <si>
    <t>| 2    | 02     | MB-USB-HTM1-001-2002 | Geral | 1    | Chapa                      | ASTM A36  | 6,4 × 2489 × 3251 | 256,9           | 256,9           | MB-USB-HTM1-001-2004 |</t>
  </si>
  <si>
    <t>| 3    | 02     | MB-USB-HTM1-001-2002 | Geral | 16   | Reforço Janela 01          | SOLDADO   | —                 | 1,8             | 28,3            | MB-USB-HTM1-001-1009 |</t>
  </si>
  <si>
    <t>| 4    | 02     | MB-USB-HTM1-001-2002 | Geral | 4    | Reforço Janela 03          | SOLDADO   | —                 | 1,9             | 7,6             | MB-USB-HTM1-001-1011 |</t>
  </si>
  <si>
    <t>| 5    | 02     | MB-USB-HTM1-001-2002 | Geral | 4    | Reforço Janela 04          | SOLDADO   | —                 | 3,2             | 12,8            | MB-USB-HTM1-001-1012 |</t>
  </si>
  <si>
    <t>| 6    | 02     | MB-USB-HTM1-001-2002 | Geral | 1    | Chapa                      | ASTM A36  | 6,4 × 2489 × 3152 | 403,4           | 403,4           | —                    |</t>
  </si>
  <si>
    <t>| 7    | 02     | MB-USB-HTM1-001-2002 | Geral | 4    | Perfil L 76,2 × 76,2 × 9,5 | ASTM A572 | 3251              | 29,2            | 116,9           | —                    |</t>
  </si>
  <si>
    <t>| 1    | 02     | MB-USB-HTM1-001-2015 | Geral | 8    | Chapa              | ASTM A36  | 9,5 × 35 × 40     | 0,1             | 0,8             | —          |</t>
  </si>
  <si>
    <t>| 2    | 02     | MB-USB-HTM1-001-2015 | Geral | 1    | Perfil W150 × 18,0 | ASTM A572 | 2808              | 48,7            | 48,7            | —          |</t>
  </si>
  <si>
    <t>| 3    | 02     | MB-USB-HTM1-001-2015 | Geral | 1    | Perfil W150 × 18,0 | ASTM A572 | 2496              | 44,3            | 44,3            | —          |</t>
  </si>
  <si>
    <t>| 4    | 02     | MB-USB-HTM1-001-2015 | Geral | 1    | Perfil W150 × 18,0 | ASTM A572 | 2502              | 45,9            | 45,9            | —          |</t>
  </si>
  <si>
    <t>| 5    | 02     | MB-USB-HTM1-001-2015 | Geral | 1    | Perfil W150 × 18,0 | ASTM A572 | 2496              | 44,3            | 44,3            | —          |</t>
  </si>
  <si>
    <t>| 1    | 02     | MB-USB-HTM1-001-2016 | Geral | 4    | Chapa                    | ASTM A36  | 9,5 × 35 × 40     | 1,0             | 4,0             | —          |</t>
  </si>
  <si>
    <t>| 2    | 02     | MB-USB-HTM1-001-2016 | Geral | 1    | Perfil U 6Pol. (3º Alma) | ASTM A572 | 2807              | 31,4            | 31,4            | —          |</t>
  </si>
  <si>
    <t>| 3    | 02     | MB-USB-HTM1-001-2016 | Geral | 1    | Perfil U 6Pol. (3º Alma) | ASTM A572 | 2502              | 29,6            | 29,6            | —          |</t>
  </si>
  <si>
    <t>| 4    | 02     | MB-USB-HTM1-001-2016 | Geral | 1    | Perfil U 6Pol. (3º Alma) | ASTM A572 | 2495              | 28,6            | 28,6            | —          |</t>
  </si>
  <si>
    <t>| 5    | 02     | MB-USB-HTM1-001-2016 | Geral | 1    | Perfil U 6Pol. (3º Alma) | ASTM A572 | 2495              | 28,5            | 28,5            | —          |</t>
  </si>
  <si>
    <t>| 1    | 02     | MB-USB-HTM1-001-2017 | Geral | 1    | Perfil W150 × 18,0 | ASTM A572 | 440               | 5,3             | 5,3             | —          |</t>
  </si>
  <si>
    <t>| 2    | 02     | MB-USB-HTM1-001-2017 | Geral | 1    | Perfil W150 × 18,0 | ASTM A572 | 485               | 8,9             | 8,9             | —          |</t>
  </si>
  <si>
    <t>| 3    | 02     | MB-USB-HTM1-001-2017 | Geral | 1    | Chapa              | ASTM A36  | 12,7 × 102 × 470  | 4,6             | 4,6             | —          |</t>
  </si>
  <si>
    <t>| Item | Módulo | Projeto Número       | Área  | Qtde | Descrição                | Material  | Dimensão / Modelo  | Peso Unit. (kg) | Peso Total (kg) | Observação           |</t>
  </si>
  <si>
    <t>| ---- | ------ | -------------------- | ----- | ---- | ------------------------ | --------- | ------------------ | --------------- | --------------- | -------------------- |</t>
  </si>
  <si>
    <t>| 1    | 03     | MB-USB-HTM1-001-3001 | Geral | 16   | Suporte                  | SOLDADO   | —                  | 3,7             | 59,9            | MB-USB-HTM1-001-1016 |</t>
  </si>
  <si>
    <t>| 2    | 03     | MB-USB-HTM1-001-3001 | Geral | 2    | Quadro Teto              | SOLDADO   | —                  | 52,4            | 104,9           | MB-USB-HTM1-001-1019 |</t>
  </si>
  <si>
    <t>| 3    | 03     | MB-USB-HTM1-001-3001 | Geral | 1    | Chapa                    | ASTM A36  | 38,1 × 310 × 498   | 46,0            | 46,0            | MB-USB-HTM1-001-2006 |</t>
  </si>
  <si>
    <t>| 4    | 03     | MB-USB-HTM1-001-3001 | Geral | 2    | Perfil U 6Pol. (3º Alma) | ASTM A572 | 3251 (D/E)         | 63,0            | 126,1           | MB-USB-HTM1-001-2012 |</t>
  </si>
  <si>
    <t>| 5    | 03     | MB-USB-HTM1-001-3001 | Geral | 1    | Perfil U 6Pol. (3º Alma) | ASTM A572 | 3251 (D/E)         | 62,8            | 62,8            | MB-USB-HTM1-001-2013 |</t>
  </si>
  <si>
    <t>| 6    | 03     | MB-USB-HTM1-001-3001 | Geral | 1    | Quadro 04                | SOLDADO   | —                  | 184,0           | 184,0           | MB-USB-HTM1-001-2015 |</t>
  </si>
  <si>
    <t>| 7    | 03     | MB-USB-HTM1-001-3001 | Geral | 2    | Conjunto M. Francesa     | SOLDADO   | —                  | 18,7            | 37,5            | MB-USB-HTM1-001-2017 |</t>
  </si>
  <si>
    <t>| 8    | 03     | MB-USB-HTM1-001-3001 | Geral | 1    | Caldeiraria Módulo 03    | SOLDADO   | —                  | 1439,3          | 1439,3          | MB-USB-HTM1-001-3002 |</t>
  </si>
  <si>
    <t>| 9    | 03     | MB-USB-HTM1-001-3001 | Geral | 1    | Quadro 11                | SOLDADO   | —                  | 123,1           | 123,1           | MB-USB-HTM1-001-3004 |</t>
  </si>
  <si>
    <t>| 10   | 03     | MB-USB-HTM1-001-3001 | Geral | 1    | Quadro 05                | SOLDADO   | —                  | 118,4           | 118,4           | MB-USB-HTM1-001-3005 |</t>
  </si>
  <si>
    <t>| 11   | 03     | MB-USB-HTM1-001-3001 | Geral | 1    | Travessa 03              | SOLDADO   | —                  | 84,4            | 84,4            | MB-USB-HTM1-001-3006 |</t>
  </si>
  <si>
    <t>| 12   | 03     | MB-USB-HTM1-001-3001 | Geral | 2    | Perfil W150 × 18,0       | ASTM A572 | 3302               | 60,5            | 121,0           | MB-USB-HTM1-001-3007 |</t>
  </si>
  <si>
    <t>| 13   | 03     | MB-USB-HTM1-001-3001 | Geral | 3    | Reforço Inferior Maior   | ASTM A572 | —                  | 36,1            | 108,2           | MB-USB-HTM1-001-5007 |</t>
  </si>
  <si>
    <t>| 14   | 03     | MB-USB-HTM1-001-3001 | Geral | 3    | Reforço Inferior Menor   | ASTM A572 | —                  | 18,8            | 56,3            | MB-USB-HTM1-001-5008 |</t>
  </si>
  <si>
    <t>| 15   | 03     | MB-USB-HTM1-001-3001 | Geral | 1    | Perfil U 6Pol. (3º Alma) | ASTM A572 | 2808               | 33,3            | 33,3            | —                    |</t>
  </si>
  <si>
    <t>| 16   | 03     | MB-USB-HTM1-001-3001 | Geral | 4    | Perfil U 6Pol. (3º Alma) | ASTM A572 | 2200               | 26,1            | 104,4           | —                    |</t>
  </si>
  <si>
    <t>| 17   | 03     | MB-USB-HTM1-001-3001 | Geral | 2    | Perfil U 6Pol. (3º Alma) | ASTM A572 | 2024               | 23,5            | 47,0            | —                    |</t>
  </si>
  <si>
    <t>| 18   | 03     | MB-USB-HTM1-001-3001 | Geral | 2    | Chapa                    | ASTM A36  | 6,4 × 101,6 × 3241 | 16,4            | 32,8            | —                    |</t>
  </si>
  <si>
    <t>| 19   | 03     | MB-USB-HTM1-001-3001 | Geral | 48   | DIN 933 – M16 × 45       | C.L 12.9  | —                  | 0,1             | 5,2             | —                    |</t>
  </si>
  <si>
    <t>| 20   | 03     | MB-USB-HTM1-001-3001 | Geral | 36   | DIN 126 – 17,5           | AÇO       | —                  | 0,0             | 0,4             | —                    |</t>
  </si>
  <si>
    <t>| 21   | 03     | MB-USB-HTM1-001-3001 | Geral | 24   | DIN 434 – 17,5           | AÇO       | —                  | 0,0             | 0,7             | —                    |</t>
  </si>
  <si>
    <t>| 22   | 03     | MB-USB-HTM1-001-3001 | Geral | 52   | DIN 934 – M16            | C.L 12    | —                  | 0,0             | 1,8             | —                    |</t>
  </si>
  <si>
    <t>| 23   | 03     | MB-USB-HTM1-001-3001 | Geral | 12   | DIN 933 – M12 × 40       | C.L 12.9  | —                  | 0,1             | 0,6             | —                    |</t>
  </si>
  <si>
    <t>| 24   | 03     | MB-USB-HTM1-001-3001 | Geral | 12   | DIN 126 – 13,5           | AÇO       | —                  | 0,0             | 0,1             | —                    |</t>
  </si>
  <si>
    <t>| 25   | 03     | MB-USB-HTM1-001-3001 | Geral | 12   | DIN 934 – M12            | C.L 12    | —                  | 0,0             | 0,2             | —                    |</t>
  </si>
  <si>
    <t>| 1    | 03     | MB-USB-HTM1-001-3002 | Geral | 2    | Chapa                      | ASTM A36  | 6,4 × 2184 × 3251 | 306,7           | 613,5           | MB-USB-HTM1-001-3003 |</t>
  </si>
  <si>
    <t>| 2    | 03     | MB-USB-HTM1-001-3002 | Geral | 1    | Chapa                      | ASTM A36  | 6,4 × 2489 × 3251 | 256,9           | 256,9           | MB-USB-HTM1-001-2004 |</t>
  </si>
  <si>
    <t>| 3    | 03     | MB-USB-HTM1-001-3002 | Geral | 16   | Reforço Janela 01          | SOLDADO   | —                 | 1,8             | 28,3            | MB-USB-HTM1-001-1009 |</t>
  </si>
  <si>
    <t>| 4    | 03     | MB-USB-HTM1-001-3002 | Geral | 4    | Reforço Janela 03          | SOLDADO   | —                 | 1,9             | 7,6             | MB-USB-HTM1-001-1011 |</t>
  </si>
  <si>
    <t>| 5    | 03     | MB-USB-HTM1-001-3002 | Geral | 4    | Reforço Janela 04          | SOLDADO   | —                 | 3,2             | 12,8            | MB-USB-HTM1-001-1012 |</t>
  </si>
  <si>
    <t>| 6    | 03     | MB-USB-HTM1-001-3002 | Geral | 1    | Chapa                      | ASTM A36  | 6,4 × 2489 × 3251 | 403,4           | 403,4           | —                    |</t>
  </si>
  <si>
    <t>| 7    | 03     | MB-USB-HTM1-001-3002 | Geral | 4    | Perfil L 76,2 × 76,2 × 9,5 | ASTM A572 | 3251              | 29,2            | 116,9           | —                    |</t>
  </si>
  <si>
    <t>| 1    | 03     | MB-USB-HTM1-001-3004 | Geral | 4    | Chapa                    | ASTM A36  | 9,5 × 35 × 40     | 0,1             | 0,4             | —          |</t>
  </si>
  <si>
    <t>| 2    | 03     | MB-USB-HTM1-001-3004 | Geral | 1    | Perfil U 6Pol. (3º Alma) | ASTM A572 | 2807              | 31,4            | 31,4            | —          |</t>
  </si>
  <si>
    <t>| 3    | 03     | MB-USB-HTM1-001-3004 | Geral | 1    | Perfil U 6Pol. (3º Alma) | ASTM A572 | 2502              | 29,6            | 29,6            | —          |</t>
  </si>
  <si>
    <t>| 4    | 03     | MB-USB-HTM1-001-3004 | Geral | 1    | Perfil U 6Pol. (3º Alma) | ASTM A572 | 2495              | 28,6            | 28,6            | —          |</t>
  </si>
  <si>
    <t>| 5    | 03     | MB-USB-HTM1-001-3004 | Geral | 1    | Perfil U 6Pol. (3º Alma) | ASTM A572 | 2890              | 33,2            | 33,2            | —          |</t>
  </si>
  <si>
    <t>| 1    | 03     | MB-USB-HTM1-001-3005 | Geral | 4    | Chapa                    | ASTM A36  | 9,5 × 35 × 40     | 0,1             | 0,4             | —          |</t>
  </si>
  <si>
    <t>| 2    | 03     | MB-USB-HTM1-001-3005 | Geral | 1    | Perfil U 6Pol. (3º Alma) | ASTM A572 | 2807              | 31,4            | 31,4            | —          |</t>
  </si>
  <si>
    <t>| 3    | 03     | MB-USB-HTM1-001-3005 | Geral | 1    | Perfil U 6Pol. (3º Alma) | ASTM A572 | 2502              | 29,6            | 29,6            | —          |</t>
  </si>
  <si>
    <t>| 4    | 03     | MB-USB-HTM1-001-3005 | Geral | 1    | Perfil U 6Pol. (3º Alma) | ASTM A572 | 2495              | 28,6            | 28,6            | —          |</t>
  </si>
  <si>
    <t>| 5    | 03     | MB-USB-HTM1-001-3005 | Geral | 1    | Perfil U 6Pol. (3º Alma) | ASTM A572 | 2495              | 28,5            | 28,5            | —          |</t>
  </si>
  <si>
    <t>| 1    | 03     | MB-USB-HTM1-001-3006 | Geral | 1    | Perfil U 6Pol. (1º Alma) | ASTM A572 | 1113              | 21,6            | 21,6            | —          |</t>
  </si>
  <si>
    <t>| 2    | 03     | MB-USB-HTM1-001-3006 | Geral | 1    | Perfil U 6Pol. (3º Alma) | ASTM A572 | 3251              | 62,8            | 62,8            | —          |</t>
  </si>
  <si>
    <t>| 1    | 04     | MB-USB-HTM1-001-4001 | Geral | 16   | Suporte                  | SOLDADO   | —                 | 3,7             | 59,9            | MB-USB-HTM1-001-1016 |</t>
  </si>
  <si>
    <t>| 2    | 04     | MB-USB-HTM1-001-4001 | Geral | 2    | Quadro Teto              | SOLDADO   | —                 | 52,4            | 104,9           | MB-USB-HTM1-001-1019 |</t>
  </si>
  <si>
    <t>| 3    | 04     | MB-USB-HTM1-001-4001 | Geral | 2    | Perfil U 6Pol. (3º Alma) | ASTM A572 | 3251 (D/E)        | 63,0            | 126,1           | MB-USB-HTM1-001-2012 |</t>
  </si>
  <si>
    <t>| 4    | 04     | MB-USB-HTM1-001-4001 | Geral | 1    | Perfil U 6Pol. (3º Alma) | ASTM A572 | 3251 (E)          | 62,8            | 62,8            | MB-USB-HTM1-001-2013 |</t>
  </si>
  <si>
    <t>| 5    | 04     | MB-USB-HTM1-001-4001 | Geral | 1    | Caldeiraria Módulo 04    | SOLDADO   | —                 | 1439,3          | 1439,3          | MB-USB-HTM1-001-4002 |</t>
  </si>
  <si>
    <t>| 6    | 04     | MB-USB-HTM1-001-4001 | Geral | 1    | Quadro 06                | SOLDADO   | —                 | 123,1           | 123,1           | MB-USB-HTM1-001-4004 |</t>
  </si>
  <si>
    <t>| 7    | 04     | MB-USB-HTM1-001-4001 | Geral | 1    | Travessa 04              | SOLDADO   | —                 | 100,2           | 100,2           | MB-USB-HTM1-001-4005 |</t>
  </si>
  <si>
    <t>| 8    | 04     | MB-USB-HTM1-001-4001 | Geral | 1    | Quadro 07                | SOLDADO   | —                 | 184,1           | 184,1           | MB-USB-HTM           |</t>
  </si>
  <si>
    <t>| 1    | 04     | MB-USB-HTM1-001-4002 | Geral | 2    | Chapa                      | ASTM A36  | 6,4 × 2184 × 3251 | 306,7           | 613,5           | MB-USB-HTM1-001-4003 |</t>
  </si>
  <si>
    <t>| 2    | 04     | MB-USB-HTM1-001-4002 | Geral | 1    | Chapa                      | ASTM A36  | 6,4 × 2489 × 3251 | 256,9           | 256,9           | MB-USB-HTM1-001-2004 |</t>
  </si>
  <si>
    <t>| 3    | 04     | MB-USB-HTM1-001-4002 | Geral | 1    | Chapa                      | ASTM A36  | 6,4 × 2489 × 3251 | 403,4           | 403,4           | —                    |</t>
  </si>
  <si>
    <t>| 4    | 04     | MB-USB-HTM1-001-4002 | Geral | 16   | Reforço Janela 01          | SOLDADO   | —                 | 1,8             | 28,3            | MB-USB-HTM1-001-1009 |</t>
  </si>
  <si>
    <t>| 5    | 04     | MB-USB-HTM1-001-4002 | Geral | 4    | Reforço Janela 03          | SOLDADO   | —                 | 1,9             | 7,6             | MB-USB-HTM1-001-1011 |</t>
  </si>
  <si>
    <t>| 6    | 04     | MB-USB-HTM1-001-4002 | Geral | 4    | Reforço Janela 04          | SOLDADO   | —                 | 3,2             | 12,8            | MB-USB-HTM1-001-1012 |</t>
  </si>
  <si>
    <t>| 7    | 04     | MB-USB-HTM1-001-4002 | Geral | 4    | Perfil L 76,2 × 76,2 × 9,5 | ASTM A572 | 3251              | 29,2            | 116,9           | —                    |</t>
  </si>
  <si>
    <t>| 1    | 04     | MB-USB-HTM1-001-4004 | Geral | 4    | Chapa                    | ASTM A36  | 9,5 × 35 × 40     | 1,0             | 4,0             | —          |</t>
  </si>
  <si>
    <t>| 2    | 04     | MB-USB-HTM1-001-4004 | Geral | 1    | Perfil U 6Pol. (3º Alma) | ASTM A572 | 2807              | 31,4            | 31,4            | —          |</t>
  </si>
  <si>
    <t>| 3    | 04     | MB-USB-HTM1-001-4004 | Geral | 1    | Perfil U 6Pol. (3º Alma) | ASTM A572 | 2502              | 29,6            | 29,6            | —          |</t>
  </si>
  <si>
    <t>| 4    | 04     | MB-USB-HTM1-001-4004 | Geral | 1    | Perfil U 6Pol. (3º Alma) | ASTM A572 | 2495              | 28,6            | 28,6            | —          |</t>
  </si>
  <si>
    <t>| 5    | 04     | MB-USB-HTM1-001-4004 | Geral | 1    | Perfil U 6Pol. (3º Alma) | ASTM A572 | 2890              | 33,2            | 33,2            | —          |</t>
  </si>
  <si>
    <t>| 1    | 04     | MB-USB-HTM1-001-4005 | Geral | 1    | Perfil U 6Pol. (3º Alma) | ASTM A572 | 3251              | 62,8            | 62,8            | —          |</t>
  </si>
  <si>
    <t>| 2    | 04     | MB-USB-HTM1-001-4005 | Geral | 1    | Perfil U 6Pol. (1º Alma) | ASTM A572 | 1926              | 37,4            | 37,4            | —          |</t>
  </si>
  <si>
    <t>| 1    | 04     | MB-USB-HTM1-001-4006 | Geral | 8    | Chapa              | ASTM A36  | 9,5 × 35 × 40     | 0,1             | 0,8             | —          |</t>
  </si>
  <si>
    <t>| 2    | 04     | MB-USB-HTM1-001-4006 | Geral | 1    | Perfil W150 × 18,0 | ASTM A572 | 2808              | 48,7            | 48,7            | —          |</t>
  </si>
  <si>
    <t>| 3    | 04     | MB-USB-HTM1-001-4006 | Geral | 2    | Perfil W150 × 18,0 | ASTM A572 | 2496              | 44,3            | 88,6            | —          |</t>
  </si>
  <si>
    <t>| 4    | 04     | MB-USB-HTM1-001-4006 | Geral | 1    | Perfil W150 × 18,0 | ASTM A572 | 2502              | 45,9            | 45,9            | —          |</t>
  </si>
  <si>
    <t>| 1    | 04     | MB-USB-HTM1-001-4007 | Geral | 4    | Chapa                    | ASTM A36  | 9,5 × 35 × 40     | 0,1             | 0,4             | —          |</t>
  </si>
  <si>
    <t>| 2    | 04     | MB-USB-HTM1-001-4007 | Geral | 1    | Perfil U 6Pol. (3º Alma) | ASTM A572 | 2807              | 31,4            | 31,4            | —          |</t>
  </si>
  <si>
    <t>| 3    | 04     | MB-USB-HTM1-001-4007 | Geral | 1    | Perfil U 6Pol. (3º Alma) | ASTM A572 | 2502              | 29,6            | 29,6            | —          |</t>
  </si>
  <si>
    <t>| 4    | 04     | MB-USB-HTM1-001-4007 | Geral | 2    | Perfil U 6Pol. (3º Alma) | ASTM A572 | 2495              | 28,6            | 57,1            | —          |</t>
  </si>
  <si>
    <t>| 1    | 04     | MB-USB-HTM1-001-5001 | Geral | 2    | Quadro Teto              | SOLDADO   | —                  | 52,4            | 104,9           | MB-USB-HTM1-001-1019 |</t>
  </si>
  <si>
    <t>| 2    | 04     | MB-USB-HTM1-001-5001 | Geral | 1    | Quadro 07                | SOLDADO   | —                  | 184,1           | 184,1           | MB-USB-HTM1-001-4006 |</t>
  </si>
  <si>
    <t>| 3    | 04     | MB-USB-HTM1-001-5001 | Geral | 2    | Quadro 08                | SOLDADO   | —                  | 118,5           | 237,0           | MB-USB-HTM1-001-4007 |</t>
  </si>
  <si>
    <t>| 4    | 04     | MB-USB-HTM1-001-5001 | Geral | 1    | Caldeiraria Módulo 05    | SOLDADO   | —                  | 1491,2          | 1491,2          | MB-USB-HTM1-001-5002 |</t>
  </si>
  <si>
    <t>| 5    | 04     | MB-USB-HTM1-001-5001 | Geral | 16   | Suporte                  | SOLDADO   | —                  | 3,7             | 59,9            | MB-USB-HTM1-001-1016 |</t>
  </si>
  <si>
    <t>| 6    | 04     | MB-USB-HTM1-001-5001 | Geral | 2    | Perfil U 6Pol. (3º Alma) | ASTM A36  | 3306               | 64,0            | 128,1           | MB-USB-HTM1-001-5004 |</t>
  </si>
  <si>
    <t>| 7    | 04     | MB-USB-HTM1-001-5001 | Geral | 2    | Perfil U 6Pol. (3º Alma) | ASTM A572 | 3862               | 74,6            | 149,3           | MB-USB-HTM1-001-5006 |</t>
  </si>
  <si>
    <t>| 8    | 04     | MB-USB-HTM1-001-5001 | Geral | 3    | Reforço Inferior Maior   | ASTM A572 | —                  | 36,1            | 108,2           | MB-USB-HTM1-001-5007 |</t>
  </si>
  <si>
    <t>| 9    | 04     | MB-USB-HTM1-001-5001 | Geral | 3    | Reforço Inferior Menor   | ASTM A572 | —                  | 18,8            | 56,3            | MB-USB-HTM1-001-5008 |</t>
  </si>
  <si>
    <t>| 10   | 04     | MB-USB-HTM1-001-5001 | Geral | 1    | Perfil U 6Pol. (3º Alma) | ASTM A572 | 2808               | 33,3            | 33,3            | —                    |</t>
  </si>
  <si>
    <t>| 11   | 04     | MB-USB-HTM1-001-5001 | Geral | 2    | Perfil U 6Pol. (3º Alma) | ASTM A572 | 1211               | 13,9            | 27,8            | —                    |</t>
  </si>
  <si>
    <t>| 12   | 04     | MB-USB-HTM1-001-5001 | Geral | 2    | Perfil U 6Pol. (3º Alma) | ASTM A572 | 2024               | 23,5            | 47,0            | —                    |</t>
  </si>
  <si>
    <t>| 13   | 04     | MB-USB-HTM1-001-5001 | Geral | 4    | Perfil U 6Pol. (3º Alma) | ASTM A572 | 2200               | 26,1            | 104,4           | —                    |</t>
  </si>
  <si>
    <t>| 14   | 04     | MB-USB-HTM1-001-5001 | Geral | 2    | Chapa                    | ASTM A36  | 6,4 × 101,6 × 3241 | 16,4            | 32,8            | —                    |</t>
  </si>
  <si>
    <t>| 1    | 04     | MB-USB-HTM1-001-5002 | Geral | 16   | Reforço Janela 01          | SOLDADO   | —                 | 1,8             | 28,3            | MB-USB-HTM1-001-1009 |</t>
  </si>
  <si>
    <t>| 2    | 04     | MB-USB-HTM1-001-5002 | Geral | 6    | Reforço Janela 04          | SOLDADO   | —                 | 3,2             | 19,3            | MB-USB-HTM1-001-1012 |</t>
  </si>
  <si>
    <t>| 3    | 04     | MB-USB-HTM1-001-5002 | Geral | 4    | Reforço Janela 03          | SOLDADO   | —                 | 1,9             | 7,6             | MB-USB-HTM1-001-1011 |</t>
  </si>
  <si>
    <t>| 4    | 04     | MB-USB-HTM1-001-5002 | Geral | 1    | Chapa                      | ASTM A36  | 6,4 × 2489 × 3251 | 256,9           | 256,9           | MB-USB-HTM1-001-2004 |</t>
  </si>
  <si>
    <t>| 5    | 04     | MB-USB-HTM1-001-5002 | Geral | 2    | Chapa                      | ASTM A36  | 6,4 × 2184 × 3251 | 299,7           | 599,4           | MB-USB-HTM1-001-5003 |</t>
  </si>
  <si>
    <t>| 6    | 04     | MB-USB-HTM1-001-5002 | Geral | 1    | Chapa                      | ASTM A36  | 6,4 × 2489 × 3251 | 403,4           | 403,4           | —                    |</t>
  </si>
  <si>
    <t>| 7    | 04     | MB-USB-HTM1-001-5002 | Geral | 1    | Chapa                      | ASTM A36  | 6,4 × 481 × 2489  | 59,6            | 59,6            | —                    |</t>
  </si>
  <si>
    <t>| 8    | 04     | MB-USB-HTM1-001-5002 | Geral | 4    | Perfil L 76,2 × 76,2 × 9,5 | ASTM A572 | 3251              | 29,2            | 116,9           | —                    |</t>
  </si>
  <si>
    <t>| Item | Módulo | Projeto Número       | Área  | Qtde | Descrição             | Material  | Dimensão / Modelo  | Peso Unit. (kg) | Peso Total (kg) | Observação           |</t>
  </si>
  <si>
    <t>| ---- | ------ | -------------------- | ----- | ---- | --------------------- | --------- | ------------------ | --------------- | --------------- | -------------------- |</t>
  </si>
  <si>
    <t>| 1    | 04     | MB-USB-HTM1-001-6001 | Geral | 1    | Caldeiraria Módulo 06 | SOLDADO   | —                  | 976,6           | 976,6           | MB-USB-HTM1-001-6002 |</t>
  </si>
  <si>
    <t>| 2    | 04     | MB-USB-HTM1-001-6001 | Geral | 4    | Suporte               | SOLDADO   | —                  | 3,7             | 15,0            | MB-USB-HTM1-001-1016 |</t>
  </si>
  <si>
    <t>| 3    | 04     | MB-USB-HTM1-001-6001 | Geral | 4    | Perfil W150 × 18,0    | ASTM A572 | 1770               | 31,2            | 125,0           | MB-USB-HTM1-001-6007 |</t>
  </si>
  <si>
    <t>| 4    | 04     | MB-USB-HTM1-001-6001 | Geral | 1    | Quadro 08             | SOLDADO   | —                  | 118,5           | 118,5           | MB-USB-HTM1-001-4007 |</t>
  </si>
  <si>
    <t>| 5    | 04     | MB-USB-HTM1-001-6001 | Geral | 3    | Reforço Inferior-6    | ASTM A572 | —                  | 31,4            | 94,2            | MB-USB-HTM1-001-6008 |</t>
  </si>
  <si>
    <t>| 6    | 04     | MB-USB-HTM1-001-6001 | Geral | 1    | Quadro 09             | SOLDADO   | —                  | 164,1           | 164,1           | MB-USB-HTM1-001-6009 |</t>
  </si>
  <si>
    <t>| 7    | 04     | MB-USB-HTM1-001-6001 | Geral | 2    | Chapa                 | ASTM A36  | 6,4 × 101,6 × 1820 | 9,2             | 18,4            | —                    |</t>
  </si>
  <si>
    <t>| 8    | 04     | MB-USB-HTM1-001-6001 | Geral | 2    | Perfil L 3 × 3 × 3/8  | ASTM A572 | 1727 (D/E)         | 18,6            | 37,2            | —                    |</t>
  </si>
  <si>
    <t>| 9    | 04     | MB-USB-HTM1-001-6001 | Geral | 1    | Perfil L 3 × 3 × 3/8  | ASTM A572 | 1710               | 17,9            | 17,9            | —                    |</t>
  </si>
  <si>
    <t>| 10   | 04     | MB-USB-HTM1-001-6001 | Geral | 2    | Perfil L 3 × 3 × 3/8  | ASTM A572 | 226 (D/E)          | 1,6             | 3,2             | —                    |</t>
  </si>
  <si>
    <t>| 11   | 04     | MB-USB-HTM1-001-6001 | Geral | 2    | Perfil L 3 × 3 × 3/8  | ASTM A572 | 548 (D/E)          | 5,3             | 10,6            | —                    |</t>
  </si>
  <si>
    <t>| Item | Módulo | Projeto Número       | Área  | Qtde | Descrição                  | Material  | Dimensão / Modelo  | Peso Unit. (kg) | Peso Total (kg) | Observação           |</t>
  </si>
  <si>
    <t>| ---- | ------ | -------------------- | ----- | ---- | -------------------------- | --------- | ------------------ | --------------- | --------------- | -------------------- |</t>
  </si>
  <si>
    <t>| 1    | 04     | MB-USB-HTM1-001-6002 | Geral | 2    | Chapa                      | ASTM A36  | 6,4 × 1778 × 1937  | 134,2           | 268,3           | MB-USB-HTM1-001-6003 |</t>
  </si>
  <si>
    <t>| 2    | 04     | MB-USB-HTM1-001-6002 | Geral | 1    | Chapa                      | ASTM A36  | 6,4 × 1778 × 2489  | 220,6           | 220,6           | —                    |</t>
  </si>
  <si>
    <t>| 3    | 04     | MB-USB-HTM1-001-6002 | Geral | 1    | Chapa                      | ASTM A36  | 6,4 × 429,5 × 2489 | 47,5            | 47,5            | MB-USB-HTM1-001-6005 |</t>
  </si>
  <si>
    <t>| 4    | 04     | MB-USB-HTM1-001-6002 | Geral | 1    | Chapa                      | ASTM A36  | 6,4 × 45 × 2489    | 5,5             | 5,5             | —                    |</t>
  </si>
  <si>
    <t>| 5    | 04     | MB-USB-HTM1-001-6002 | Geral | 1    | Chapa                      | ASTM A36  | 6,4 × 1658 × 2489  | 126,5           | 126,5           | MB-USB-HTM1-001-6004 |</t>
  </si>
  <si>
    <t>| 6    | 04     | MB-USB-HTM1-001-6002 | Geral | 2    | Perfil L 76,2 × 76,2 × 9,5 | ASTM A572 | 2489               | 26,5            | 53,1            | —                    |</t>
  </si>
  <si>
    <t>| 7    | 04     | MB-USB-HTM1-001-6002 | Geral | 2    | Perfil L 76,2 × 76,2 × 9,5 | ASTM A572 | 2489               | 26,4            | 52,9            | —                    |</t>
  </si>
  <si>
    <t>| 8    | 04     | MB-USB-HTM1-001-6002 | Geral | 2    | Perfil L 76,2 × 76,2 × 9,5 | ASTM A572 | 762                | 8,1             | 16,2            | —                    |</t>
  </si>
  <si>
    <t>| 9    | 04     | MB-USB-HTM1-001-6002 | Geral | 2    | Perfil L 76,2 × 76,2 × 9,5 | ASTM A572 | 259                | 2,0             | 4,1             | —                    |</t>
  </si>
  <si>
    <t>| 10   | 04     | MB-USB-HTM1-001-6002 | Geral | 2    | Perfil L 76,2 × 76,2 × 9,5 | ASTM A572 | 254                | 2,7             | 5,4             | —                    |</t>
  </si>
  <si>
    <t>| 11   | 04     | MB-USB-HTM1-001-6002 | Geral | 2    | Base acionamento           | SOLDADO   | —                  | 48,6            | 97,2            | MB-USB-HTM1-001-6006 |</t>
  </si>
  <si>
    <t>| 12   | 04     | MB-USB-HTM1-001-6002 | Geral | 4    | Reforço Janela 01          | SOLDADO   | —                  | 1,8             | 7,1             | MB-USB-HTM1-001-1009 |</t>
  </si>
  <si>
    <t>| 13   | 04     | MB-USB-HTM1-001-6002 | Geral | 2    | Quadro 02                  | SOLDADO   | —                  | 3,4             | 6,9             | MB-USB-HTM1-001-1010 |</t>
  </si>
  <si>
    <t>| 14   | 04     | MB-USB-HTM1-001-6002 | Geral | 2    | Perfil L 76,2 × 76,2 × 9,5 | ASTM A572 | 1778               | 16,0            | 32,0            | —                    |</t>
  </si>
  <si>
    <t>| 15   | 04     | MB-USB-HTM1-001-6002 | Geral | 2    | Perfil L 76,2 × 76,2 × 9,5 | ASTM A572 | 1583               | 14,2            | 28,4            | —                    |</t>
  </si>
  <si>
    <t>| 16   | 04     | MB-USB-HTM1-001-6002 | Geral | 2    | Perfil L 76,2 × 76,2 × 9,5 | ASTM A572 | 280                | 2,5             | 5,0             | —                    |</t>
  </si>
  <si>
    <t>| 1    | 04     | MB-USB-HTM1-001-6006 | Geral | 2    | Chapa     | ASTM A36 | 9,5 × 124 × 591   | 5,5             | 10,9            | —          |</t>
  </si>
  <si>
    <t>| 2    | 04     | MB-USB-HTM1-001-6006 | Geral | 2    | Chapa     | ASTM A36 | 9,5 × 77 × 800    | 4,5             | 9,1             | —          |</t>
  </si>
  <si>
    <t>| 3    | 04     | MB-USB-HTM1-001-6006 | Geral | 2    | Chapa     | ASTM A36 | 9,5 × 129 × 725   | 6,9             | 13,8            | —          |</t>
  </si>
  <si>
    <t>| 4    | 04     | MB-USB-HTM1-001-6006 | Geral | 2    | Chapa     | ASTM A36 | 9,5 × 124 × 800   | 7,4             | 14,8            | —          |</t>
  </si>
  <si>
    <t>| 1    | 04     | MB-USB-HTM1-001-6009 | Geral | 1    | Perfil W150 × 18,0 | ASTM A572 | 2502              | 45,9            | 45,9            | —          |</t>
  </si>
  <si>
    <t>| 2    | 04     | MB-USB-HTM1-001-6009 | Geral | 1    | Perfil W150 × 18,0 | ASTM A572 | 2808              | 48,7            | 48,7            | —          |</t>
  </si>
  <si>
    <t>| 3    | 04     | MB-USB-HTM1-001-6009 | Geral | 2    | Perfil W150 × 18,0 | ASTM A572 | 1970              | 34,7            | 69,5            | —          |</t>
  </si>
  <si>
    <t xml:space="preserve">Dimensão </t>
  </si>
  <si>
    <t xml:space="preserve">falta </t>
  </si>
  <si>
    <t>Quadro 01</t>
  </si>
  <si>
    <t>Quadro 02</t>
  </si>
  <si>
    <t>suporte</t>
  </si>
  <si>
    <t>Quadro 3</t>
  </si>
  <si>
    <t>Quadro teto</t>
  </si>
  <si>
    <t>d/esq</t>
  </si>
  <si>
    <t>Travessa 01</t>
  </si>
  <si>
    <t>Travessa 02</t>
  </si>
  <si>
    <t>reforço inferior maior</t>
  </si>
  <si>
    <t>reforço inferior menor</t>
  </si>
  <si>
    <t xml:space="preserve"> 6,4 × 2489 × 2662</t>
  </si>
  <si>
    <t>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</si>
  <si>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</si>
  <si>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</si>
  <si>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</si>
  <si>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</si>
  <si>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</si>
  <si>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</si>
  <si>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</si>
  <si>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</si>
  <si>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</si>
  <si>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</si>
  <si>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</si>
  <si>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 xml:space="preserve"> Chapa # 6,35</t>
  </si>
  <si>
    <t xml:space="preserve"> Chapa # 9,5</t>
  </si>
  <si>
    <t xml:space="preserve"> Chapa # 38</t>
  </si>
  <si>
    <t xml:space="preserve"> Chapa # 12,7</t>
  </si>
  <si>
    <t xml:space="preserve">  Chapa # 6,35</t>
  </si>
  <si>
    <t xml:space="preserve"> Perfil L 76,2 × 76,2 × 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</si>
</sst>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1" fillId="4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top"/>
    </xf>
    <xf numFmtId="0" fontId="0" fillId="6" borderId="0" xfId="0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0" fillId="7" borderId="0" xfId="0" applyFill="1" applyBorder="1" applyAlignment="1">
      <alignment horizontal="center" vertical="top"/>
    </xf>
    <xf numFmtId="0" fontId="6" fillId="4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 vertical="top"/>
    </xf>
    <xf numFmtId="0" fontId="4" fillId="7" borderId="0" xfId="0" applyFont="1" applyFill="1" applyBorder="1" applyAlignment="1">
      <alignment horizontal="center" vertical="top"/>
    </xf>
    <xf numFmtId="0" fontId="8" fillId="5" borderId="0" xfId="0" applyFont="1" applyFill="1" applyBorder="1" applyAlignment="1">
      <alignment horizontal="left" vertical="top"/>
    </xf>
    <xf numFmtId="0" fontId="9" fillId="4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center" vertical="top"/>
    </xf>
    <xf numFmtId="0" fontId="5" fillId="7" borderId="0" xfId="0" applyFont="1" applyFill="1" applyBorder="1" applyAlignment="1">
      <alignment horizontal="center" vertical="top"/>
    </xf>
    <xf numFmtId="0" fontId="9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72829-C056-4224-8B54-0F0DBABF2740}" name="Tabela2" displayName="Tabela2" ref="A6:L453" totalsRowShown="0" headerRowDxfId="5" dataDxfId="6">
  <autoFilter ref="A6:L453" xr:uid="{2B672829-C056-4224-8B54-0F0DBABF2740}">
    <filterColumn colId="6">
      <filters>
        <filter val="Perfil L 3 × 3 × 3/8"/>
        <filter val="Perfil L 76,2 × 76,2 × 9,5"/>
      </filters>
    </filterColumn>
  </autoFilter>
  <tableColumns count="12">
    <tableColumn id="1" xr3:uid="{8ACB9F8F-0E81-4884-90B0-4A8EFECE6E69}" name="1" dataDxfId="13"/>
    <tableColumn id="2" xr3:uid="{693290FF-2418-464A-BAE1-D3FF1BFFAF58}" name="2" dataDxfId="2"/>
    <tableColumn id="3" xr3:uid="{EB67205B-1C8B-40AF-B42B-2B99BBA75AEB}" name="3" dataDxfId="0"/>
    <tableColumn id="4" xr3:uid="{C60E2DEA-8643-44DD-935C-78C1B8B430C4}" name="4" dataDxfId="1"/>
    <tableColumn id="5" xr3:uid="{974CDFA3-72A8-4E32-ACDB-CD67BC7D6A09}" name="5" dataDxfId="3"/>
    <tableColumn id="6" xr3:uid="{B185DFB9-957A-4095-9127-66907A331BB7}" name="6" dataDxfId="4"/>
    <tableColumn id="7" xr3:uid="{ACAB4970-DCD1-4969-997E-E2A2B4D9E890}" name="7" dataDxfId="12"/>
    <tableColumn id="8" xr3:uid="{50EEAC2A-F03F-4C93-B79F-E1A5CFF06965}" name="8" dataDxfId="11"/>
    <tableColumn id="9" xr3:uid="{FA87857A-5D35-4A51-82B0-71DDD182D9AE}" name="9" dataDxfId="10"/>
    <tableColumn id="10" xr3:uid="{028AABC6-0B9F-421B-8609-DE4528808A61}" name="10" dataDxfId="9"/>
    <tableColumn id="11" xr3:uid="{6D9CBB5E-894C-451A-A2DA-BC6F41B3CFBE}" name="11" dataDxfId="8"/>
    <tableColumn id="12" xr3:uid="{DF7EA653-D3FA-4EA0-8C70-46E258E8FC85}" name="12" dataDxfId="7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BD24-CD83-4D3C-8F49-88C4980378C2}">
  <dimension ref="A1:L453"/>
  <sheetViews>
    <sheetView tabSelected="1" zoomScale="145" zoomScaleNormal="145" workbookViewId="0">
      <pane ySplit="5" topLeftCell="A6" activePane="bottomLeft" state="frozen"/>
      <selection pane="bottomLeft" activeCell="E426" sqref="E426"/>
    </sheetView>
  </sheetViews>
  <sheetFormatPr defaultRowHeight="14.25" x14ac:dyDescent="0.45"/>
  <cols>
    <col min="1" max="1" width="4.3984375" style="4" customWidth="1"/>
    <col min="2" max="2" width="5.86328125" style="4" customWidth="1"/>
    <col min="3" max="3" width="6" style="12" customWidth="1"/>
    <col min="4" max="4" width="20.33203125" style="10" customWidth="1"/>
    <col min="5" max="5" width="8.6640625" style="12" customWidth="1"/>
    <col min="6" max="6" width="6.796875" style="4" customWidth="1"/>
    <col min="7" max="7" width="20" style="4" customWidth="1"/>
    <col min="8" max="8" width="11.46484375" style="4" customWidth="1"/>
    <col min="9" max="9" width="16.3984375" style="4" customWidth="1"/>
    <col min="10" max="11" width="10.796875" style="4" customWidth="1"/>
    <col min="12" max="12" width="21.06640625" style="4" customWidth="1"/>
    <col min="13" max="16384" width="9.06640625" style="3"/>
  </cols>
  <sheetData>
    <row r="1" spans="1:12" s="1" customFormat="1" x14ac:dyDescent="0.45">
      <c r="A1" s="7" t="s">
        <v>0</v>
      </c>
      <c r="B1" s="7"/>
      <c r="C1" s="19"/>
      <c r="D1" s="15"/>
      <c r="E1" s="19"/>
      <c r="F1" s="7"/>
      <c r="G1" s="7"/>
      <c r="H1" s="7"/>
      <c r="I1" s="7"/>
      <c r="J1" s="7"/>
      <c r="K1" s="7"/>
      <c r="L1" s="7"/>
    </row>
    <row r="2" spans="1:12" s="1" customFormat="1" x14ac:dyDescent="0.45">
      <c r="A2" s="7" t="s">
        <v>1</v>
      </c>
      <c r="B2" s="7"/>
      <c r="C2" s="19"/>
      <c r="D2" s="15"/>
      <c r="E2" s="19"/>
      <c r="F2" s="7"/>
      <c r="G2" s="7"/>
      <c r="H2" s="7"/>
      <c r="I2" s="7"/>
      <c r="J2" s="7"/>
      <c r="K2" s="7"/>
      <c r="L2" s="7"/>
    </row>
    <row r="3" spans="1:12" s="1" customFormat="1" x14ac:dyDescent="0.45">
      <c r="A3" s="7" t="s">
        <v>2</v>
      </c>
      <c r="B3" s="7"/>
      <c r="C3" s="19"/>
      <c r="D3" s="15"/>
      <c r="E3" s="19"/>
      <c r="F3" s="7"/>
      <c r="G3" s="7"/>
      <c r="H3" s="7"/>
      <c r="I3" s="7"/>
      <c r="J3" s="7"/>
      <c r="K3" s="7"/>
      <c r="L3" s="7"/>
    </row>
    <row r="4" spans="1:12" s="1" customFormat="1" x14ac:dyDescent="0.45">
      <c r="A4" s="7" t="s">
        <v>3</v>
      </c>
      <c r="B4" s="7"/>
      <c r="C4" s="19"/>
      <c r="D4" s="15"/>
      <c r="E4" s="19"/>
      <c r="F4" s="7"/>
      <c r="G4" s="7"/>
      <c r="H4" s="7"/>
      <c r="I4" s="7"/>
      <c r="J4" s="7"/>
      <c r="K4" s="7"/>
      <c r="L4" s="7"/>
    </row>
    <row r="5" spans="1:12" s="2" customFormat="1" ht="21.85" customHeight="1" x14ac:dyDescent="0.45">
      <c r="A5" s="6"/>
      <c r="B5" s="6" t="s">
        <v>4</v>
      </c>
      <c r="C5" s="24" t="s">
        <v>5</v>
      </c>
      <c r="D5" s="6" t="s">
        <v>6</v>
      </c>
      <c r="E5" s="20" t="s">
        <v>8</v>
      </c>
      <c r="F5" s="6" t="s">
        <v>9</v>
      </c>
      <c r="G5" s="6" t="s">
        <v>10</v>
      </c>
      <c r="H5" s="6" t="s">
        <v>11</v>
      </c>
      <c r="I5" s="6" t="s">
        <v>451</v>
      </c>
      <c r="J5" s="14" t="s">
        <v>13</v>
      </c>
      <c r="K5" s="14" t="s">
        <v>14</v>
      </c>
      <c r="L5" s="6" t="s">
        <v>15</v>
      </c>
    </row>
    <row r="6" spans="1:12" s="11" customFormat="1" ht="13.15" x14ac:dyDescent="0.45">
      <c r="A6" s="10" t="s">
        <v>464</v>
      </c>
      <c r="B6" s="10" t="s">
        <v>466</v>
      </c>
      <c r="C6" s="12" t="s">
        <v>467</v>
      </c>
      <c r="D6" s="10" t="s">
        <v>468</v>
      </c>
      <c r="E6" s="9" t="s">
        <v>469</v>
      </c>
      <c r="F6" s="10" t="s">
        <v>470</v>
      </c>
      <c r="G6" s="10" t="s">
        <v>471</v>
      </c>
      <c r="H6" s="10" t="s">
        <v>472</v>
      </c>
      <c r="I6" s="10" t="s">
        <v>473</v>
      </c>
      <c r="J6" s="10" t="s">
        <v>474</v>
      </c>
      <c r="K6" s="10" t="s">
        <v>475</v>
      </c>
      <c r="L6" s="10" t="s">
        <v>465</v>
      </c>
    </row>
    <row r="7" spans="1:12" hidden="1" x14ac:dyDescent="0.45">
      <c r="A7" s="8"/>
      <c r="B7" s="8">
        <v>1</v>
      </c>
      <c r="C7" s="21">
        <v>1</v>
      </c>
      <c r="D7" s="16" t="s">
        <v>16</v>
      </c>
      <c r="E7" s="21" t="s">
        <v>17</v>
      </c>
      <c r="F7" s="8">
        <v>1</v>
      </c>
      <c r="G7" s="8" t="s">
        <v>18</v>
      </c>
      <c r="H7" s="8"/>
      <c r="I7" s="8"/>
      <c r="J7" s="8"/>
      <c r="K7" s="8"/>
      <c r="L7" s="8" t="s">
        <v>21</v>
      </c>
    </row>
    <row r="8" spans="1:12" hidden="1" x14ac:dyDescent="0.45">
      <c r="A8" s="5"/>
      <c r="B8" s="5">
        <v>2</v>
      </c>
      <c r="C8" s="22">
        <v>1</v>
      </c>
      <c r="D8" s="17" t="s">
        <v>16</v>
      </c>
      <c r="E8" s="22" t="s">
        <v>17</v>
      </c>
      <c r="F8" s="5">
        <v>2</v>
      </c>
      <c r="G8" s="5" t="s">
        <v>22</v>
      </c>
      <c r="H8" s="5" t="s">
        <v>23</v>
      </c>
      <c r="I8" s="5">
        <v>3150</v>
      </c>
      <c r="J8" s="5">
        <v>57.7</v>
      </c>
      <c r="K8" s="5">
        <f>J8*F8</f>
        <v>115.4</v>
      </c>
      <c r="L8" s="5" t="s">
        <v>24</v>
      </c>
    </row>
    <row r="9" spans="1:12" hidden="1" x14ac:dyDescent="0.45">
      <c r="A9" s="13"/>
      <c r="B9" s="13">
        <v>3</v>
      </c>
      <c r="C9" s="23">
        <v>1</v>
      </c>
      <c r="D9" s="18" t="s">
        <v>16</v>
      </c>
      <c r="E9" s="23" t="s">
        <v>17</v>
      </c>
      <c r="F9" s="13">
        <v>1</v>
      </c>
      <c r="G9" s="13" t="s">
        <v>453</v>
      </c>
      <c r="H9" s="13" t="s">
        <v>19</v>
      </c>
      <c r="I9" s="13"/>
      <c r="J9" s="13"/>
      <c r="K9" s="13"/>
      <c r="L9" s="13" t="s">
        <v>25</v>
      </c>
    </row>
    <row r="10" spans="1:12" hidden="1" x14ac:dyDescent="0.45">
      <c r="B10" s="4">
        <v>4</v>
      </c>
      <c r="C10" s="12">
        <v>1</v>
      </c>
      <c r="D10" s="10" t="s">
        <v>16</v>
      </c>
      <c r="E10" s="12" t="s">
        <v>17</v>
      </c>
      <c r="F10" s="4">
        <v>1</v>
      </c>
      <c r="G10" s="4" t="s">
        <v>454</v>
      </c>
      <c r="H10" s="4" t="s">
        <v>19</v>
      </c>
      <c r="L10" s="4" t="s">
        <v>26</v>
      </c>
    </row>
    <row r="11" spans="1:12" hidden="1" x14ac:dyDescent="0.45">
      <c r="A11" s="8"/>
      <c r="B11" s="8">
        <v>5</v>
      </c>
      <c r="C11" s="21">
        <v>1</v>
      </c>
      <c r="D11" s="16" t="s">
        <v>16</v>
      </c>
      <c r="E11" s="21" t="s">
        <v>17</v>
      </c>
      <c r="F11" s="8">
        <v>10</v>
      </c>
      <c r="G11" s="8" t="s">
        <v>455</v>
      </c>
      <c r="H11" s="8" t="s">
        <v>19</v>
      </c>
      <c r="I11" s="8"/>
      <c r="J11" s="8"/>
      <c r="K11" s="8"/>
      <c r="L11" s="8" t="s">
        <v>28</v>
      </c>
    </row>
    <row r="12" spans="1:12" hidden="1" x14ac:dyDescent="0.45">
      <c r="A12" s="5"/>
      <c r="B12" s="5">
        <v>6</v>
      </c>
      <c r="C12" s="22">
        <v>1</v>
      </c>
      <c r="D12" s="17" t="s">
        <v>16</v>
      </c>
      <c r="E12" s="22" t="s">
        <v>17</v>
      </c>
      <c r="F12" s="5">
        <v>1</v>
      </c>
      <c r="G12" s="5" t="s">
        <v>456</v>
      </c>
      <c r="H12" s="5" t="s">
        <v>19</v>
      </c>
      <c r="I12" s="5"/>
      <c r="J12" s="5"/>
      <c r="K12" s="5"/>
      <c r="L12" s="5" t="s">
        <v>30</v>
      </c>
    </row>
    <row r="13" spans="1:12" hidden="1" x14ac:dyDescent="0.45">
      <c r="A13" s="13"/>
      <c r="B13" s="13">
        <v>8</v>
      </c>
      <c r="C13" s="23">
        <v>1</v>
      </c>
      <c r="D13" s="18" t="s">
        <v>16</v>
      </c>
      <c r="E13" s="23" t="s">
        <v>17</v>
      </c>
      <c r="F13" s="13">
        <v>2</v>
      </c>
      <c r="G13" s="13" t="s">
        <v>457</v>
      </c>
      <c r="H13" s="13" t="s">
        <v>7</v>
      </c>
      <c r="I13" s="13"/>
      <c r="J13" s="13"/>
      <c r="K13" s="13"/>
      <c r="L13" s="13" t="s">
        <v>32</v>
      </c>
    </row>
    <row r="14" spans="1:12" hidden="1" x14ac:dyDescent="0.45">
      <c r="B14" s="4">
        <v>9</v>
      </c>
      <c r="C14" s="12">
        <v>1</v>
      </c>
      <c r="D14" s="10" t="s">
        <v>16</v>
      </c>
      <c r="E14" s="12" t="s">
        <v>17</v>
      </c>
      <c r="F14" s="4">
        <v>2</v>
      </c>
      <c r="G14" s="4" t="s">
        <v>33</v>
      </c>
      <c r="H14" s="4" t="s">
        <v>458</v>
      </c>
      <c r="I14" s="4">
        <v>1952</v>
      </c>
      <c r="J14" s="4">
        <v>37.700000000000003</v>
      </c>
      <c r="K14" s="4">
        <f>J14*F14</f>
        <v>75.400000000000006</v>
      </c>
      <c r="L14" s="4" t="s">
        <v>34</v>
      </c>
    </row>
    <row r="15" spans="1:12" hidden="1" x14ac:dyDescent="0.45">
      <c r="A15" s="8"/>
      <c r="B15" s="8">
        <v>10</v>
      </c>
      <c r="C15" s="21">
        <v>1</v>
      </c>
      <c r="D15" s="16" t="s">
        <v>16</v>
      </c>
      <c r="E15" s="21" t="s">
        <v>17</v>
      </c>
      <c r="F15" s="8">
        <v>1</v>
      </c>
      <c r="G15" s="8" t="s">
        <v>459</v>
      </c>
      <c r="H15" s="8" t="s">
        <v>20</v>
      </c>
      <c r="I15" s="8"/>
      <c r="J15" s="8"/>
      <c r="K15" s="8"/>
      <c r="L15" s="8"/>
    </row>
    <row r="16" spans="1:12" hidden="1" x14ac:dyDescent="0.45">
      <c r="A16" s="5"/>
      <c r="B16" s="5">
        <v>11</v>
      </c>
      <c r="C16" s="22">
        <v>1</v>
      </c>
      <c r="D16" s="17" t="s">
        <v>16</v>
      </c>
      <c r="E16" s="22" t="s">
        <v>17</v>
      </c>
      <c r="F16" s="5">
        <v>3</v>
      </c>
      <c r="G16" s="5" t="s">
        <v>460</v>
      </c>
      <c r="H16" s="5"/>
      <c r="I16" s="5"/>
      <c r="J16" s="5"/>
      <c r="K16" s="5"/>
      <c r="L16" s="5"/>
    </row>
    <row r="17" spans="1:12" hidden="1" x14ac:dyDescent="0.45">
      <c r="A17" s="13"/>
      <c r="B17" s="13">
        <v>12</v>
      </c>
      <c r="C17" s="23">
        <v>1</v>
      </c>
      <c r="D17" s="18" t="s">
        <v>16</v>
      </c>
      <c r="E17" s="23" t="s">
        <v>17</v>
      </c>
      <c r="F17" s="13">
        <v>2</v>
      </c>
      <c r="G17" s="13" t="s">
        <v>33</v>
      </c>
      <c r="H17" s="13"/>
      <c r="I17" s="13">
        <v>1677</v>
      </c>
      <c r="J17" s="13">
        <v>32.4</v>
      </c>
      <c r="K17" s="13">
        <f>J17*F17</f>
        <v>64.8</v>
      </c>
      <c r="L17" s="13" t="s">
        <v>34</v>
      </c>
    </row>
    <row r="18" spans="1:12" hidden="1" x14ac:dyDescent="0.45">
      <c r="B18" s="4">
        <v>13</v>
      </c>
      <c r="C18" s="12">
        <v>1</v>
      </c>
      <c r="D18" s="10" t="s">
        <v>16</v>
      </c>
      <c r="E18" s="12" t="s">
        <v>17</v>
      </c>
      <c r="F18" s="4">
        <v>3</v>
      </c>
      <c r="G18" s="4" t="s">
        <v>461</v>
      </c>
    </row>
    <row r="19" spans="1:12" hidden="1" x14ac:dyDescent="0.45">
      <c r="A19" s="8"/>
      <c r="B19" s="8">
        <v>14</v>
      </c>
      <c r="C19" s="21">
        <v>1</v>
      </c>
      <c r="D19" s="16" t="s">
        <v>16</v>
      </c>
      <c r="E19" s="21" t="s">
        <v>17</v>
      </c>
      <c r="F19" s="8">
        <v>3</v>
      </c>
      <c r="G19" s="8" t="s">
        <v>462</v>
      </c>
      <c r="H19" s="8"/>
      <c r="I19" s="8"/>
      <c r="J19" s="8"/>
      <c r="K19" s="8"/>
      <c r="L19" s="8"/>
    </row>
    <row r="20" spans="1:12" hidden="1" x14ac:dyDescent="0.45">
      <c r="A20" s="5"/>
      <c r="B20" s="5">
        <v>16</v>
      </c>
      <c r="C20" s="22">
        <v>1</v>
      </c>
      <c r="D20" s="17" t="s">
        <v>16</v>
      </c>
      <c r="E20" s="22" t="s">
        <v>17</v>
      </c>
      <c r="F20" s="5">
        <v>2</v>
      </c>
      <c r="G20" s="5" t="s">
        <v>33</v>
      </c>
      <c r="H20" s="5"/>
      <c r="I20" s="5">
        <v>1467</v>
      </c>
      <c r="J20" s="5">
        <v>16.899999999999999</v>
      </c>
      <c r="K20" s="5">
        <f t="shared" ref="K20:K24" si="0">J20*F20</f>
        <v>33.799999999999997</v>
      </c>
      <c r="L20" s="5"/>
    </row>
    <row r="21" spans="1:12" hidden="1" x14ac:dyDescent="0.45">
      <c r="A21" s="13"/>
      <c r="B21" s="13">
        <v>15</v>
      </c>
      <c r="C21" s="23">
        <v>1</v>
      </c>
      <c r="D21" s="18" t="s">
        <v>16</v>
      </c>
      <c r="E21" s="23" t="s">
        <v>17</v>
      </c>
      <c r="F21" s="13">
        <v>2</v>
      </c>
      <c r="G21" s="13" t="s">
        <v>33</v>
      </c>
      <c r="H21" s="13"/>
      <c r="I21" s="13">
        <v>1618</v>
      </c>
      <c r="J21" s="13">
        <v>18.7</v>
      </c>
      <c r="K21" s="13">
        <f t="shared" si="0"/>
        <v>37.4</v>
      </c>
      <c r="L21" s="13"/>
    </row>
    <row r="22" spans="1:12" hidden="1" x14ac:dyDescent="0.45">
      <c r="B22" s="4">
        <v>18</v>
      </c>
      <c r="C22" s="12">
        <v>1</v>
      </c>
      <c r="D22" s="10" t="s">
        <v>16</v>
      </c>
      <c r="E22" s="12" t="s">
        <v>17</v>
      </c>
      <c r="F22" s="4">
        <v>2</v>
      </c>
      <c r="G22" s="4" t="s">
        <v>33</v>
      </c>
      <c r="I22" s="4">
        <v>2808</v>
      </c>
      <c r="J22" s="4">
        <v>33.299999999999997</v>
      </c>
      <c r="K22" s="4">
        <f t="shared" si="0"/>
        <v>66.599999999999994</v>
      </c>
    </row>
    <row r="23" spans="1:12" hidden="1" x14ac:dyDescent="0.45">
      <c r="A23" s="8"/>
      <c r="B23" s="8">
        <v>17</v>
      </c>
      <c r="C23" s="21">
        <v>1</v>
      </c>
      <c r="D23" s="16" t="s">
        <v>16</v>
      </c>
      <c r="E23" s="21" t="s">
        <v>17</v>
      </c>
      <c r="F23" s="8">
        <v>4</v>
      </c>
      <c r="G23" s="8" t="s">
        <v>33</v>
      </c>
      <c r="H23" s="8"/>
      <c r="I23" s="8">
        <v>2200</v>
      </c>
      <c r="J23" s="8">
        <v>26.1</v>
      </c>
      <c r="K23" s="8">
        <f t="shared" si="0"/>
        <v>104.4</v>
      </c>
      <c r="L23" s="8"/>
    </row>
    <row r="24" spans="1:12" hidden="1" x14ac:dyDescent="0.45">
      <c r="A24" s="5"/>
      <c r="B24" s="5">
        <v>18</v>
      </c>
      <c r="C24" s="22">
        <v>1</v>
      </c>
      <c r="D24" s="17" t="s">
        <v>16</v>
      </c>
      <c r="E24" s="22" t="s">
        <v>17</v>
      </c>
      <c r="F24" s="5">
        <v>2</v>
      </c>
      <c r="G24" s="5" t="s">
        <v>37</v>
      </c>
      <c r="H24" s="5"/>
      <c r="I24" s="5" t="s">
        <v>39</v>
      </c>
      <c r="J24" s="5">
        <v>15.9</v>
      </c>
      <c r="K24" s="5">
        <f t="shared" si="0"/>
        <v>31.8</v>
      </c>
      <c r="L24" s="5"/>
    </row>
    <row r="25" spans="1:12" hidden="1" x14ac:dyDescent="0.45">
      <c r="A25" s="13" t="s">
        <v>0</v>
      </c>
      <c r="B25" s="13"/>
      <c r="C25" s="23"/>
      <c r="D25" s="18"/>
      <c r="E25" s="23"/>
      <c r="F25" s="13"/>
      <c r="G25" s="13"/>
      <c r="H25" s="13"/>
      <c r="I25" s="13"/>
      <c r="J25" s="13"/>
      <c r="K25" s="13"/>
      <c r="L25" s="13"/>
    </row>
    <row r="26" spans="1:12" hidden="1" x14ac:dyDescent="0.45">
      <c r="A26" s="4" t="s">
        <v>1</v>
      </c>
    </row>
    <row r="27" spans="1:12" hidden="1" x14ac:dyDescent="0.45">
      <c r="A27" s="8" t="s">
        <v>2</v>
      </c>
      <c r="B27" s="8"/>
      <c r="C27" s="21"/>
      <c r="D27" s="16"/>
      <c r="E27" s="21"/>
      <c r="F27" s="8"/>
      <c r="G27" s="8"/>
      <c r="H27" s="8"/>
      <c r="I27" s="8"/>
      <c r="J27" s="8"/>
      <c r="K27" s="8"/>
      <c r="L27" s="8"/>
    </row>
    <row r="28" spans="1:12" hidden="1" x14ac:dyDescent="0.45">
      <c r="A28" s="5" t="s">
        <v>40</v>
      </c>
      <c r="B28" s="5"/>
      <c r="C28" s="22"/>
      <c r="D28" s="17"/>
      <c r="E28" s="22"/>
      <c r="F28" s="5"/>
      <c r="G28" s="5"/>
      <c r="H28" s="5"/>
      <c r="I28" s="5"/>
      <c r="J28" s="5"/>
      <c r="K28" s="5"/>
      <c r="L28" s="5"/>
    </row>
    <row r="29" spans="1:12" hidden="1" x14ac:dyDescent="0.45">
      <c r="A29" s="13"/>
      <c r="B29" s="13" t="s">
        <v>4</v>
      </c>
      <c r="C29" s="23" t="s">
        <v>6</v>
      </c>
      <c r="D29" s="18" t="s">
        <v>7</v>
      </c>
      <c r="E29" s="23" t="s">
        <v>8</v>
      </c>
      <c r="F29" s="13" t="s">
        <v>9</v>
      </c>
      <c r="G29" s="13"/>
      <c r="H29" s="13"/>
      <c r="I29" s="13"/>
      <c r="J29" s="13"/>
      <c r="K29" s="13" t="s">
        <v>7</v>
      </c>
      <c r="L29" s="13"/>
    </row>
    <row r="30" spans="1:12" hidden="1" x14ac:dyDescent="0.45">
      <c r="B30" s="4">
        <v>1</v>
      </c>
      <c r="C30" s="12">
        <v>1</v>
      </c>
      <c r="D30" s="10" t="s">
        <v>42</v>
      </c>
      <c r="E30" s="12" t="s">
        <v>17</v>
      </c>
      <c r="F30" s="4">
        <v>1</v>
      </c>
      <c r="G30" s="4" t="s">
        <v>476</v>
      </c>
      <c r="H30" s="4" t="s">
        <v>38</v>
      </c>
      <c r="I30" s="4" t="s">
        <v>44</v>
      </c>
      <c r="J30" s="4">
        <v>276.60000000000002</v>
      </c>
      <c r="K30" s="4">
        <f t="shared" ref="K30:K33" si="1">J30*F30</f>
        <v>276.60000000000002</v>
      </c>
    </row>
    <row r="31" spans="1:12" hidden="1" x14ac:dyDescent="0.45">
      <c r="A31" s="8"/>
      <c r="B31" s="8">
        <v>2</v>
      </c>
      <c r="C31" s="21">
        <v>1</v>
      </c>
      <c r="D31" s="16" t="s">
        <v>42</v>
      </c>
      <c r="E31" s="21" t="s">
        <v>17</v>
      </c>
      <c r="F31" s="8">
        <v>1</v>
      </c>
      <c r="G31" s="8" t="s">
        <v>476</v>
      </c>
      <c r="H31" s="8" t="s">
        <v>38</v>
      </c>
      <c r="I31" s="8" t="s">
        <v>463</v>
      </c>
      <c r="J31" s="8">
        <v>330.3</v>
      </c>
      <c r="K31" s="8">
        <f t="shared" si="1"/>
        <v>330.3</v>
      </c>
      <c r="L31" s="8"/>
    </row>
    <row r="32" spans="1:12" hidden="1" x14ac:dyDescent="0.45">
      <c r="A32" s="5"/>
      <c r="B32" s="5">
        <v>3</v>
      </c>
      <c r="C32" s="22">
        <v>1</v>
      </c>
      <c r="D32" s="17" t="s">
        <v>42</v>
      </c>
      <c r="E32" s="22" t="s">
        <v>17</v>
      </c>
      <c r="F32" s="5">
        <v>1</v>
      </c>
      <c r="G32" s="5" t="s">
        <v>476</v>
      </c>
      <c r="H32" s="5" t="s">
        <v>38</v>
      </c>
      <c r="I32" s="5" t="s">
        <v>45</v>
      </c>
      <c r="J32" s="5">
        <v>38.4</v>
      </c>
      <c r="K32" s="5">
        <f t="shared" si="1"/>
        <v>38.4</v>
      </c>
      <c r="L32" s="5"/>
    </row>
    <row r="33" spans="1:12" hidden="1" x14ac:dyDescent="0.45">
      <c r="A33" s="13"/>
      <c r="B33" s="13">
        <v>4</v>
      </c>
      <c r="C33" s="23">
        <v>1</v>
      </c>
      <c r="D33" s="18" t="s">
        <v>42</v>
      </c>
      <c r="E33" s="23" t="s">
        <v>17</v>
      </c>
      <c r="F33" s="13">
        <v>1</v>
      </c>
      <c r="G33" s="13" t="s">
        <v>476</v>
      </c>
      <c r="H33" s="13" t="s">
        <v>38</v>
      </c>
      <c r="I33" s="13" t="s">
        <v>46</v>
      </c>
      <c r="J33" s="13">
        <v>140</v>
      </c>
      <c r="K33" s="13">
        <f t="shared" si="1"/>
        <v>140</v>
      </c>
      <c r="L33" s="13" t="s">
        <v>47</v>
      </c>
    </row>
    <row r="34" spans="1:12" hidden="1" x14ac:dyDescent="0.45">
      <c r="B34" s="4">
        <v>5</v>
      </c>
      <c r="C34" s="12">
        <v>11</v>
      </c>
      <c r="D34" s="10" t="s">
        <v>42</v>
      </c>
      <c r="E34" s="12" t="s">
        <v>17</v>
      </c>
      <c r="F34" s="4">
        <v>2</v>
      </c>
      <c r="H34" s="4" t="s">
        <v>19</v>
      </c>
      <c r="J34" s="4">
        <v>21.5</v>
      </c>
      <c r="L34" s="4" t="s">
        <v>47</v>
      </c>
    </row>
    <row r="35" spans="1:12" hidden="1" x14ac:dyDescent="0.45">
      <c r="A35" s="8"/>
      <c r="B35" s="8">
        <v>6</v>
      </c>
      <c r="C35" s="21">
        <v>1</v>
      </c>
      <c r="D35" s="16" t="s">
        <v>42</v>
      </c>
      <c r="E35" s="21" t="s">
        <v>17</v>
      </c>
      <c r="F35" s="8">
        <v>1</v>
      </c>
      <c r="G35" s="8"/>
      <c r="H35" s="8"/>
      <c r="I35" s="8"/>
      <c r="J35" s="8">
        <v>163.1</v>
      </c>
      <c r="K35" s="8"/>
      <c r="L35" s="8"/>
    </row>
    <row r="36" spans="1:12" hidden="1" x14ac:dyDescent="0.45">
      <c r="A36" s="5"/>
      <c r="B36" s="5">
        <v>7</v>
      </c>
      <c r="C36" s="22">
        <v>1</v>
      </c>
      <c r="D36" s="17" t="s">
        <v>42</v>
      </c>
      <c r="E36" s="22" t="s">
        <v>17</v>
      </c>
      <c r="F36" s="5">
        <v>2</v>
      </c>
      <c r="G36" s="5"/>
      <c r="H36" s="5"/>
      <c r="I36" s="5" t="s">
        <v>7</v>
      </c>
      <c r="J36" s="5">
        <v>61.5</v>
      </c>
      <c r="K36" s="5"/>
      <c r="L36" s="5"/>
    </row>
    <row r="37" spans="1:12" hidden="1" x14ac:dyDescent="0.45">
      <c r="A37" s="13"/>
      <c r="B37" s="13">
        <v>8</v>
      </c>
      <c r="C37" s="23">
        <v>1</v>
      </c>
      <c r="D37" s="18" t="s">
        <v>42</v>
      </c>
      <c r="E37" s="23" t="s">
        <v>17</v>
      </c>
      <c r="F37" s="13">
        <v>2</v>
      </c>
      <c r="G37" s="13"/>
      <c r="H37" s="13"/>
      <c r="I37" s="13"/>
      <c r="J37" s="13">
        <v>42.5</v>
      </c>
      <c r="K37" s="13"/>
      <c r="L37" s="13" t="s">
        <v>48</v>
      </c>
    </row>
    <row r="38" spans="1:12" hidden="1" x14ac:dyDescent="0.45">
      <c r="B38" s="4">
        <v>9</v>
      </c>
      <c r="C38" s="12">
        <v>1</v>
      </c>
      <c r="D38" s="10" t="s">
        <v>42</v>
      </c>
      <c r="E38" s="12" t="s">
        <v>17</v>
      </c>
      <c r="F38" s="4">
        <v>10</v>
      </c>
      <c r="I38" s="4" t="s">
        <v>19</v>
      </c>
      <c r="J38" s="4">
        <v>17.7</v>
      </c>
    </row>
    <row r="39" spans="1:12" hidden="1" x14ac:dyDescent="0.45">
      <c r="A39" s="8"/>
      <c r="B39" s="8">
        <v>10</v>
      </c>
      <c r="C39" s="21">
        <v>1</v>
      </c>
      <c r="D39" s="16" t="s">
        <v>42</v>
      </c>
      <c r="E39" s="21" t="s">
        <v>17</v>
      </c>
      <c r="F39" s="8">
        <v>2</v>
      </c>
      <c r="G39" s="8"/>
      <c r="H39" s="8"/>
      <c r="I39" s="8"/>
      <c r="J39" s="8">
        <v>6.9</v>
      </c>
      <c r="K39" s="8" t="s">
        <v>20</v>
      </c>
      <c r="L39" s="8" t="s">
        <v>49</v>
      </c>
    </row>
    <row r="40" spans="1:12" hidden="1" x14ac:dyDescent="0.45">
      <c r="A40" s="5"/>
      <c r="B40" s="5">
        <v>11</v>
      </c>
      <c r="C40" s="22">
        <v>1</v>
      </c>
      <c r="D40" s="17" t="s">
        <v>42</v>
      </c>
      <c r="E40" s="22" t="s">
        <v>17</v>
      </c>
      <c r="F40" s="5">
        <v>2</v>
      </c>
      <c r="G40" s="5"/>
      <c r="H40" s="5"/>
      <c r="I40" s="5" t="s">
        <v>19</v>
      </c>
      <c r="J40" s="5">
        <v>3.8</v>
      </c>
      <c r="K40" s="5"/>
      <c r="L40" s="5"/>
    </row>
    <row r="41" spans="1:12" hidden="1" x14ac:dyDescent="0.45">
      <c r="A41" s="13"/>
      <c r="B41" s="13">
        <v>12</v>
      </c>
      <c r="C41" s="23">
        <v>1</v>
      </c>
      <c r="D41" s="18" t="s">
        <v>42</v>
      </c>
      <c r="E41" s="23" t="s">
        <v>17</v>
      </c>
      <c r="F41" s="13">
        <v>2</v>
      </c>
      <c r="G41" s="13"/>
      <c r="H41" s="13"/>
      <c r="I41" s="13" t="s">
        <v>19</v>
      </c>
      <c r="J41" s="13">
        <v>6.4</v>
      </c>
      <c r="K41" s="13"/>
      <c r="L41" s="13"/>
    </row>
    <row r="42" spans="1:12" hidden="1" x14ac:dyDescent="0.45">
      <c r="B42" s="4">
        <v>13</v>
      </c>
      <c r="C42" s="12">
        <v>1</v>
      </c>
      <c r="D42" s="10" t="s">
        <v>42</v>
      </c>
      <c r="E42" s="12" t="s">
        <v>17</v>
      </c>
      <c r="F42" s="4">
        <v>1</v>
      </c>
      <c r="G42" s="4" t="s">
        <v>476</v>
      </c>
      <c r="H42" s="4" t="s">
        <v>38</v>
      </c>
      <c r="I42" s="4" t="s">
        <v>52</v>
      </c>
      <c r="J42" s="4">
        <v>237.2</v>
      </c>
      <c r="K42" s="4">
        <f t="shared" ref="K42:K45" si="2">J42*F42</f>
        <v>237.2</v>
      </c>
    </row>
    <row r="43" spans="1:12" x14ac:dyDescent="0.45">
      <c r="A43" s="8"/>
      <c r="B43" s="8">
        <v>14</v>
      </c>
      <c r="C43" s="21">
        <v>1</v>
      </c>
      <c r="D43" s="16" t="s">
        <v>42</v>
      </c>
      <c r="E43" s="21" t="s">
        <v>17</v>
      </c>
      <c r="F43" s="8">
        <v>2</v>
      </c>
      <c r="G43" s="8" t="s">
        <v>53</v>
      </c>
      <c r="H43" s="8"/>
      <c r="I43" s="8">
        <v>3092</v>
      </c>
      <c r="J43" s="8">
        <v>27.8</v>
      </c>
      <c r="K43" s="8">
        <f t="shared" si="2"/>
        <v>55.6</v>
      </c>
      <c r="L43" s="8"/>
    </row>
    <row r="44" spans="1:12" x14ac:dyDescent="0.45">
      <c r="A44" s="5"/>
      <c r="B44" s="5">
        <v>15</v>
      </c>
      <c r="C44" s="22">
        <v>1</v>
      </c>
      <c r="D44" s="17" t="s">
        <v>42</v>
      </c>
      <c r="E44" s="22" t="s">
        <v>17</v>
      </c>
      <c r="F44" s="5">
        <v>2</v>
      </c>
      <c r="G44" s="5" t="s">
        <v>53</v>
      </c>
      <c r="H44" s="5"/>
      <c r="I44" s="5">
        <v>2656</v>
      </c>
      <c r="J44" s="5">
        <v>23.9</v>
      </c>
      <c r="K44" s="5">
        <f t="shared" si="2"/>
        <v>47.8</v>
      </c>
      <c r="L44" s="5"/>
    </row>
    <row r="45" spans="1:12" hidden="1" x14ac:dyDescent="0.45">
      <c r="A45" s="13"/>
      <c r="B45" s="13">
        <v>16</v>
      </c>
      <c r="C45" s="23">
        <v>1</v>
      </c>
      <c r="D45" s="18" t="s">
        <v>42</v>
      </c>
      <c r="E45" s="23" t="s">
        <v>17</v>
      </c>
      <c r="F45" s="13">
        <v>1</v>
      </c>
      <c r="G45" s="13" t="s">
        <v>476</v>
      </c>
      <c r="H45" s="13" t="s">
        <v>38</v>
      </c>
      <c r="I45" s="13" t="s">
        <v>54</v>
      </c>
      <c r="J45" s="13">
        <v>276.60000000000002</v>
      </c>
      <c r="K45" s="13">
        <f t="shared" si="2"/>
        <v>276.60000000000002</v>
      </c>
      <c r="L45" s="13"/>
    </row>
    <row r="46" spans="1:12" hidden="1" x14ac:dyDescent="0.45">
      <c r="A46" s="4" t="s">
        <v>0</v>
      </c>
    </row>
    <row r="47" spans="1:12" hidden="1" x14ac:dyDescent="0.45">
      <c r="A47" s="8" t="s">
        <v>1</v>
      </c>
      <c r="B47" s="8"/>
      <c r="C47" s="21"/>
      <c r="D47" s="16"/>
      <c r="E47" s="21"/>
      <c r="F47" s="8"/>
      <c r="G47" s="8"/>
      <c r="H47" s="8"/>
      <c r="I47" s="8"/>
      <c r="J47" s="8"/>
      <c r="K47" s="8"/>
      <c r="L47" s="8"/>
    </row>
    <row r="48" spans="1:12" hidden="1" x14ac:dyDescent="0.45">
      <c r="A48" s="5" t="s">
        <v>2</v>
      </c>
      <c r="B48" s="5"/>
      <c r="C48" s="22"/>
      <c r="D48" s="17"/>
      <c r="E48" s="22"/>
      <c r="F48" s="5"/>
      <c r="G48" s="5"/>
      <c r="H48" s="5"/>
      <c r="I48" s="5"/>
      <c r="J48" s="5"/>
      <c r="K48" s="5"/>
      <c r="L48" s="5"/>
    </row>
    <row r="49" spans="1:12" hidden="1" x14ac:dyDescent="0.45">
      <c r="A49" s="13" t="s">
        <v>55</v>
      </c>
      <c r="B49" s="13"/>
      <c r="C49" s="23"/>
      <c r="D49" s="18"/>
      <c r="E49" s="23"/>
      <c r="F49" s="13"/>
      <c r="G49" s="13"/>
      <c r="H49" s="13"/>
      <c r="I49" s="13"/>
      <c r="J49" s="13"/>
      <c r="K49" s="13"/>
      <c r="L49" s="13"/>
    </row>
    <row r="50" spans="1:12" hidden="1" x14ac:dyDescent="0.45">
      <c r="B50" s="4" t="s">
        <v>4</v>
      </c>
      <c r="C50" s="12" t="s">
        <v>6</v>
      </c>
      <c r="D50" s="10" t="s">
        <v>7</v>
      </c>
      <c r="E50" s="12" t="s">
        <v>8</v>
      </c>
      <c r="F50" s="4" t="s">
        <v>9</v>
      </c>
      <c r="G50" s="4" t="s">
        <v>12</v>
      </c>
    </row>
    <row r="51" spans="1:12" hidden="1" x14ac:dyDescent="0.45">
      <c r="A51" s="8"/>
      <c r="B51" s="8">
        <v>1</v>
      </c>
      <c r="C51" s="21"/>
      <c r="D51" s="16" t="s">
        <v>56</v>
      </c>
      <c r="E51" s="21"/>
      <c r="F51" s="8">
        <v>1</v>
      </c>
      <c r="G51" s="8" t="s">
        <v>43</v>
      </c>
      <c r="H51" s="8"/>
      <c r="I51" s="8"/>
      <c r="J51" s="8">
        <v>38.700000000000003</v>
      </c>
      <c r="K51" s="8">
        <f t="shared" ref="K51:K55" si="3">J51*F51</f>
        <v>38.700000000000003</v>
      </c>
      <c r="L51" s="8"/>
    </row>
    <row r="52" spans="1:12" hidden="1" x14ac:dyDescent="0.45">
      <c r="A52" s="5"/>
      <c r="B52" s="5">
        <v>2</v>
      </c>
      <c r="C52" s="22"/>
      <c r="D52" s="17" t="s">
        <v>56</v>
      </c>
      <c r="E52" s="22"/>
      <c r="F52" s="5">
        <v>2</v>
      </c>
      <c r="G52" s="5" t="s">
        <v>43</v>
      </c>
      <c r="H52" s="5"/>
      <c r="I52" s="5" t="s">
        <v>7</v>
      </c>
      <c r="J52" s="5">
        <v>6.2</v>
      </c>
      <c r="K52" s="5">
        <f t="shared" si="3"/>
        <v>12.4</v>
      </c>
      <c r="L52" s="5"/>
    </row>
    <row r="53" spans="1:12" hidden="1" x14ac:dyDescent="0.45">
      <c r="A53" s="13"/>
      <c r="B53" s="13">
        <v>3</v>
      </c>
      <c r="C53" s="23"/>
      <c r="D53" s="18" t="s">
        <v>56</v>
      </c>
      <c r="E53" s="23"/>
      <c r="F53" s="13">
        <v>2</v>
      </c>
      <c r="G53" s="13" t="s">
        <v>43</v>
      </c>
      <c r="H53" s="13"/>
      <c r="I53" s="13"/>
      <c r="J53" s="13">
        <v>18.7</v>
      </c>
      <c r="K53" s="13">
        <f t="shared" si="3"/>
        <v>37.4</v>
      </c>
      <c r="L53" s="13"/>
    </row>
    <row r="54" spans="1:12" hidden="1" x14ac:dyDescent="0.45">
      <c r="B54" s="4">
        <v>4</v>
      </c>
      <c r="D54" s="10" t="s">
        <v>56</v>
      </c>
      <c r="F54" s="4">
        <v>2</v>
      </c>
      <c r="G54" s="4" t="s">
        <v>43</v>
      </c>
      <c r="J54" s="4">
        <v>7.8</v>
      </c>
      <c r="K54" s="4">
        <f t="shared" si="3"/>
        <v>15.6</v>
      </c>
    </row>
    <row r="55" spans="1:12" hidden="1" x14ac:dyDescent="0.45">
      <c r="A55" s="8"/>
      <c r="B55" s="8">
        <v>5</v>
      </c>
      <c r="C55" s="21"/>
      <c r="D55" s="16" t="s">
        <v>56</v>
      </c>
      <c r="E55" s="21"/>
      <c r="F55" s="8">
        <v>2</v>
      </c>
      <c r="G55" s="8" t="s">
        <v>43</v>
      </c>
      <c r="H55" s="8"/>
      <c r="I55" s="8"/>
      <c r="J55" s="8">
        <v>29.5</v>
      </c>
      <c r="K55" s="8">
        <f t="shared" si="3"/>
        <v>59</v>
      </c>
      <c r="L55" s="8"/>
    </row>
    <row r="56" spans="1:12" hidden="1" x14ac:dyDescent="0.45">
      <c r="A56" s="5" t="s">
        <v>0</v>
      </c>
      <c r="B56" s="5"/>
      <c r="C56" s="22"/>
      <c r="D56" s="17"/>
      <c r="E56" s="22"/>
      <c r="F56" s="5"/>
      <c r="G56" s="5"/>
      <c r="H56" s="5"/>
      <c r="I56" s="5"/>
      <c r="J56" s="5"/>
      <c r="K56" s="5"/>
      <c r="L56" s="5"/>
    </row>
    <row r="57" spans="1:12" hidden="1" x14ac:dyDescent="0.45">
      <c r="A57" s="13" t="s">
        <v>1</v>
      </c>
      <c r="B57" s="13"/>
      <c r="C57" s="23"/>
      <c r="D57" s="18"/>
      <c r="E57" s="23"/>
      <c r="F57" s="13"/>
      <c r="G57" s="13"/>
      <c r="H57" s="13"/>
      <c r="I57" s="13"/>
      <c r="J57" s="13"/>
      <c r="K57" s="13"/>
      <c r="L57" s="13"/>
    </row>
    <row r="58" spans="1:12" hidden="1" x14ac:dyDescent="0.45">
      <c r="A58" s="4" t="s">
        <v>2</v>
      </c>
    </row>
    <row r="59" spans="1:12" hidden="1" x14ac:dyDescent="0.45">
      <c r="A59" s="8" t="s">
        <v>58</v>
      </c>
      <c r="B59" s="8"/>
      <c r="C59" s="21"/>
      <c r="D59" s="16"/>
      <c r="E59" s="21"/>
      <c r="F59" s="8"/>
      <c r="G59" s="8"/>
      <c r="H59" s="8"/>
      <c r="I59" s="8"/>
      <c r="J59" s="8"/>
      <c r="K59" s="8"/>
      <c r="L59" s="8"/>
    </row>
    <row r="60" spans="1:12" hidden="1" x14ac:dyDescent="0.45">
      <c r="A60" s="5"/>
      <c r="B60" s="5" t="s">
        <v>4</v>
      </c>
      <c r="C60" s="22" t="s">
        <v>6</v>
      </c>
      <c r="D60" s="17" t="s">
        <v>7</v>
      </c>
      <c r="E60" s="22" t="s">
        <v>8</v>
      </c>
      <c r="F60" s="5" t="s">
        <v>9</v>
      </c>
      <c r="G60" s="5" t="s">
        <v>41</v>
      </c>
      <c r="H60" s="5"/>
      <c r="I60" s="5" t="s">
        <v>15</v>
      </c>
      <c r="J60" s="5"/>
      <c r="K60" s="5"/>
      <c r="L60" s="5"/>
    </row>
    <row r="61" spans="1:12" hidden="1" x14ac:dyDescent="0.45">
      <c r="A61" s="13"/>
      <c r="B61" s="13">
        <v>1</v>
      </c>
      <c r="C61" s="23"/>
      <c r="D61" s="18" t="s">
        <v>59</v>
      </c>
      <c r="E61" s="23"/>
      <c r="F61" s="13">
        <v>1</v>
      </c>
      <c r="G61" s="13" t="s">
        <v>43</v>
      </c>
      <c r="H61" s="13" t="s">
        <v>7</v>
      </c>
      <c r="I61" s="13"/>
      <c r="J61" s="13">
        <v>8.1999999999999993</v>
      </c>
      <c r="K61" s="13">
        <f t="shared" ref="K61:K63" si="4">J61*F61</f>
        <v>8.1999999999999993</v>
      </c>
      <c r="L61" s="13"/>
    </row>
    <row r="62" spans="1:12" hidden="1" x14ac:dyDescent="0.45">
      <c r="B62" s="4">
        <v>2</v>
      </c>
      <c r="D62" s="10" t="s">
        <v>59</v>
      </c>
      <c r="F62" s="4">
        <v>1</v>
      </c>
      <c r="G62" s="4" t="s">
        <v>43</v>
      </c>
      <c r="J62" s="4">
        <v>2.7</v>
      </c>
      <c r="K62" s="4">
        <f t="shared" si="4"/>
        <v>2.7</v>
      </c>
    </row>
    <row r="63" spans="1:12" hidden="1" x14ac:dyDescent="0.45">
      <c r="A63" s="8"/>
      <c r="B63" s="8">
        <v>3</v>
      </c>
      <c r="C63" s="21"/>
      <c r="D63" s="16" t="s">
        <v>59</v>
      </c>
      <c r="E63" s="21"/>
      <c r="F63" s="8">
        <v>2</v>
      </c>
      <c r="G63" s="8" t="s">
        <v>43</v>
      </c>
      <c r="H63" s="8"/>
      <c r="I63" s="8"/>
      <c r="J63" s="8">
        <v>5.3</v>
      </c>
      <c r="K63" s="8">
        <f t="shared" si="4"/>
        <v>10.6</v>
      </c>
      <c r="L63" s="8"/>
    </row>
    <row r="64" spans="1:12" hidden="1" x14ac:dyDescent="0.45">
      <c r="A64" s="5" t="s">
        <v>0</v>
      </c>
      <c r="B64" s="5"/>
      <c r="C64" s="22"/>
      <c r="D64" s="17"/>
      <c r="E64" s="22"/>
      <c r="F64" s="5"/>
      <c r="G64" s="5"/>
      <c r="H64" s="5"/>
      <c r="I64" s="5"/>
      <c r="J64" s="5"/>
      <c r="K64" s="5"/>
      <c r="L64" s="5"/>
    </row>
    <row r="65" spans="1:12" hidden="1" x14ac:dyDescent="0.45">
      <c r="A65" s="13" t="s">
        <v>1</v>
      </c>
      <c r="B65" s="13"/>
      <c r="C65" s="23"/>
      <c r="D65" s="18"/>
      <c r="E65" s="23"/>
      <c r="F65" s="13"/>
      <c r="G65" s="13"/>
      <c r="H65" s="13"/>
      <c r="I65" s="13"/>
      <c r="J65" s="13"/>
      <c r="K65" s="13"/>
      <c r="L65" s="13"/>
    </row>
    <row r="66" spans="1:12" hidden="1" x14ac:dyDescent="0.45">
      <c r="A66" s="4" t="s">
        <v>2</v>
      </c>
    </row>
    <row r="67" spans="1:12" hidden="1" x14ac:dyDescent="0.45">
      <c r="A67" s="8" t="s">
        <v>60</v>
      </c>
      <c r="B67" s="8"/>
      <c r="C67" s="21"/>
      <c r="D67" s="16"/>
      <c r="E67" s="21"/>
      <c r="F67" s="8"/>
      <c r="G67" s="8"/>
      <c r="H67" s="8"/>
      <c r="I67" s="8"/>
      <c r="J67" s="8"/>
      <c r="K67" s="8"/>
      <c r="L67" s="8"/>
    </row>
    <row r="68" spans="1:12" hidden="1" x14ac:dyDescent="0.45">
      <c r="A68" s="5"/>
      <c r="B68" s="5" t="s">
        <v>4</v>
      </c>
      <c r="C68" s="22" t="s">
        <v>6</v>
      </c>
      <c r="D68" s="17" t="s">
        <v>7</v>
      </c>
      <c r="E68" s="22" t="s">
        <v>8</v>
      </c>
      <c r="F68" s="5" t="s">
        <v>9</v>
      </c>
      <c r="G68" s="5" t="s">
        <v>41</v>
      </c>
      <c r="H68" s="5"/>
      <c r="I68" s="5"/>
      <c r="J68" s="5"/>
      <c r="K68" s="5"/>
      <c r="L68" s="5"/>
    </row>
    <row r="69" spans="1:12" hidden="1" x14ac:dyDescent="0.45">
      <c r="A69" s="13"/>
      <c r="B69" s="13">
        <v>1</v>
      </c>
      <c r="C69" s="23"/>
      <c r="D69" s="18" t="s">
        <v>61</v>
      </c>
      <c r="E69" s="23"/>
      <c r="F69" s="13">
        <v>2</v>
      </c>
      <c r="G69" s="13" t="s">
        <v>43</v>
      </c>
      <c r="H69" s="13"/>
      <c r="I69" s="13"/>
      <c r="J69" s="13">
        <v>5.0999999999999996</v>
      </c>
      <c r="K69" s="13">
        <f t="shared" ref="K69:K72" si="5">J69*F69</f>
        <v>10.199999999999999</v>
      </c>
      <c r="L69" s="13"/>
    </row>
    <row r="70" spans="1:12" hidden="1" x14ac:dyDescent="0.45">
      <c r="B70" s="4">
        <v>2</v>
      </c>
      <c r="D70" s="10" t="s">
        <v>61</v>
      </c>
      <c r="F70" s="4">
        <v>2</v>
      </c>
      <c r="G70" s="4" t="s">
        <v>43</v>
      </c>
      <c r="J70" s="4">
        <v>4.2</v>
      </c>
      <c r="K70" s="4">
        <f t="shared" si="5"/>
        <v>8.4</v>
      </c>
    </row>
    <row r="71" spans="1:12" hidden="1" x14ac:dyDescent="0.45">
      <c r="A71" s="8"/>
      <c r="B71" s="8">
        <v>3</v>
      </c>
      <c r="C71" s="21"/>
      <c r="D71" s="16" t="s">
        <v>61</v>
      </c>
      <c r="E71" s="21"/>
      <c r="F71" s="8">
        <v>2</v>
      </c>
      <c r="G71" s="8" t="s">
        <v>43</v>
      </c>
      <c r="H71" s="8"/>
      <c r="I71" s="8" t="s">
        <v>7</v>
      </c>
      <c r="J71" s="8">
        <v>3.6</v>
      </c>
      <c r="K71" s="8">
        <f t="shared" si="5"/>
        <v>7.2</v>
      </c>
      <c r="L71" s="8"/>
    </row>
    <row r="72" spans="1:12" hidden="1" x14ac:dyDescent="0.45">
      <c r="A72" s="5"/>
      <c r="B72" s="5">
        <v>4</v>
      </c>
      <c r="C72" s="22"/>
      <c r="D72" s="17" t="s">
        <v>61</v>
      </c>
      <c r="E72" s="22"/>
      <c r="F72" s="5">
        <v>2</v>
      </c>
      <c r="G72" s="5" t="s">
        <v>43</v>
      </c>
      <c r="H72" s="5" t="s">
        <v>7</v>
      </c>
      <c r="I72" s="5"/>
      <c r="J72" s="5">
        <v>2.5</v>
      </c>
      <c r="K72" s="5">
        <f t="shared" si="5"/>
        <v>5</v>
      </c>
      <c r="L72" s="5"/>
    </row>
    <row r="73" spans="1:12" hidden="1" x14ac:dyDescent="0.45">
      <c r="A73" s="13" t="s">
        <v>0</v>
      </c>
      <c r="B73" s="13"/>
      <c r="C73" s="23"/>
      <c r="D73" s="18"/>
      <c r="E73" s="23"/>
      <c r="F73" s="13"/>
      <c r="G73" s="13"/>
      <c r="H73" s="13"/>
      <c r="I73" s="13"/>
      <c r="J73" s="13"/>
      <c r="K73" s="13"/>
      <c r="L73" s="13"/>
    </row>
    <row r="74" spans="1:12" hidden="1" x14ac:dyDescent="0.45">
      <c r="A74" s="4" t="s">
        <v>1</v>
      </c>
    </row>
    <row r="75" spans="1:12" hidden="1" x14ac:dyDescent="0.45">
      <c r="A75" s="8" t="s">
        <v>2</v>
      </c>
      <c r="B75" s="8"/>
      <c r="C75" s="21"/>
      <c r="D75" s="16"/>
      <c r="E75" s="21"/>
      <c r="F75" s="8"/>
      <c r="G75" s="8"/>
      <c r="H75" s="8"/>
      <c r="I75" s="8"/>
      <c r="J75" s="8"/>
      <c r="K75" s="8"/>
      <c r="L75" s="8"/>
    </row>
    <row r="76" spans="1:12" hidden="1" x14ac:dyDescent="0.45">
      <c r="A76" s="5" t="s">
        <v>62</v>
      </c>
      <c r="B76" s="5"/>
      <c r="C76" s="22"/>
      <c r="D76" s="17"/>
      <c r="E76" s="22"/>
      <c r="F76" s="5"/>
      <c r="G76" s="5"/>
      <c r="H76" s="5"/>
      <c r="I76" s="5"/>
      <c r="J76" s="5"/>
      <c r="K76" s="5"/>
      <c r="L76" s="5"/>
    </row>
    <row r="77" spans="1:12" hidden="1" x14ac:dyDescent="0.45">
      <c r="A77" s="13"/>
      <c r="B77" s="13" t="s">
        <v>4</v>
      </c>
      <c r="C77" s="23" t="s">
        <v>6</v>
      </c>
      <c r="D77" s="18" t="s">
        <v>7</v>
      </c>
      <c r="E77" s="23" t="s">
        <v>8</v>
      </c>
      <c r="F77" s="13" t="s">
        <v>9</v>
      </c>
      <c r="G77" s="13" t="s">
        <v>41</v>
      </c>
      <c r="H77" s="13"/>
      <c r="I77" s="13"/>
      <c r="J77" s="13"/>
      <c r="K77" s="13"/>
      <c r="L77" s="13"/>
    </row>
    <row r="78" spans="1:12" hidden="1" x14ac:dyDescent="0.45">
      <c r="B78" s="4">
        <v>1</v>
      </c>
      <c r="D78" s="10" t="s">
        <v>63</v>
      </c>
      <c r="F78" s="4">
        <v>2</v>
      </c>
      <c r="H78" s="4" t="s">
        <v>7</v>
      </c>
    </row>
    <row r="79" spans="1:12" hidden="1" x14ac:dyDescent="0.45">
      <c r="A79" s="8"/>
      <c r="B79" s="8">
        <v>2</v>
      </c>
      <c r="C79" s="21"/>
      <c r="D79" s="16" t="s">
        <v>63</v>
      </c>
      <c r="E79" s="21"/>
      <c r="F79" s="8">
        <v>2</v>
      </c>
      <c r="G79" s="8"/>
      <c r="H79" s="8"/>
      <c r="I79" s="8" t="s">
        <v>7</v>
      </c>
      <c r="J79" s="8">
        <v>0.8</v>
      </c>
      <c r="K79" s="8"/>
      <c r="L79" s="8"/>
    </row>
    <row r="80" spans="1:12" hidden="1" x14ac:dyDescent="0.45">
      <c r="A80" s="5" t="s">
        <v>0</v>
      </c>
      <c r="B80" s="5"/>
      <c r="C80" s="22"/>
      <c r="D80" s="17"/>
      <c r="E80" s="22"/>
      <c r="F80" s="5"/>
      <c r="G80" s="5"/>
      <c r="H80" s="5"/>
      <c r="I80" s="5"/>
      <c r="J80" s="5"/>
      <c r="K80" s="5"/>
      <c r="L80" s="5"/>
    </row>
    <row r="81" spans="1:12" hidden="1" x14ac:dyDescent="0.45">
      <c r="A81" s="13" t="s">
        <v>1</v>
      </c>
      <c r="B81" s="13"/>
      <c r="C81" s="23"/>
      <c r="D81" s="18"/>
      <c r="E81" s="23"/>
      <c r="F81" s="13"/>
      <c r="G81" s="13"/>
      <c r="H81" s="13"/>
      <c r="I81" s="13"/>
      <c r="J81" s="13"/>
      <c r="K81" s="13"/>
      <c r="L81" s="13"/>
    </row>
    <row r="82" spans="1:12" hidden="1" x14ac:dyDescent="0.45">
      <c r="A82" s="4" t="s">
        <v>2</v>
      </c>
    </row>
    <row r="83" spans="1:12" hidden="1" x14ac:dyDescent="0.45">
      <c r="A83" s="8" t="s">
        <v>64</v>
      </c>
      <c r="B83" s="8"/>
      <c r="C83" s="21"/>
      <c r="D83" s="16"/>
      <c r="E83" s="21"/>
      <c r="F83" s="8"/>
      <c r="G83" s="8"/>
      <c r="H83" s="8"/>
      <c r="I83" s="8"/>
      <c r="J83" s="8"/>
      <c r="K83" s="8"/>
      <c r="L83" s="8"/>
    </row>
    <row r="84" spans="1:12" hidden="1" x14ac:dyDescent="0.45">
      <c r="A84" s="5"/>
      <c r="B84" s="5" t="s">
        <v>4</v>
      </c>
      <c r="C84" s="22" t="s">
        <v>6</v>
      </c>
      <c r="D84" s="17" t="s">
        <v>7</v>
      </c>
      <c r="E84" s="22" t="s">
        <v>8</v>
      </c>
      <c r="F84" s="5" t="s">
        <v>9</v>
      </c>
      <c r="G84" s="5" t="s">
        <v>41</v>
      </c>
      <c r="H84" s="5"/>
      <c r="I84" s="5"/>
      <c r="J84" s="5"/>
      <c r="K84" s="5"/>
      <c r="L84" s="5"/>
    </row>
    <row r="85" spans="1:12" hidden="1" x14ac:dyDescent="0.45">
      <c r="A85" s="13"/>
      <c r="B85" s="13">
        <v>1</v>
      </c>
      <c r="C85" s="23"/>
      <c r="D85" s="18" t="s">
        <v>65</v>
      </c>
      <c r="E85" s="23"/>
      <c r="F85" s="13">
        <v>2</v>
      </c>
      <c r="G85" s="13"/>
      <c r="H85" s="13" t="s">
        <v>7</v>
      </c>
      <c r="I85" s="13"/>
      <c r="J85" s="13">
        <v>0.5</v>
      </c>
      <c r="K85" s="13"/>
      <c r="L85" s="13"/>
    </row>
    <row r="86" spans="1:12" hidden="1" x14ac:dyDescent="0.45">
      <c r="B86" s="4">
        <v>2</v>
      </c>
      <c r="D86" s="10" t="s">
        <v>65</v>
      </c>
      <c r="F86" s="4">
        <v>2</v>
      </c>
      <c r="I86" s="4" t="s">
        <v>7</v>
      </c>
      <c r="J86" s="4">
        <v>0.4</v>
      </c>
    </row>
    <row r="87" spans="1:12" hidden="1" x14ac:dyDescent="0.45">
      <c r="A87" s="8" t="s">
        <v>0</v>
      </c>
      <c r="B87" s="8"/>
      <c r="C87" s="21"/>
      <c r="D87" s="16"/>
      <c r="E87" s="21"/>
      <c r="F87" s="8"/>
      <c r="G87" s="8"/>
      <c r="H87" s="8"/>
      <c r="I87" s="8"/>
      <c r="J87" s="8"/>
      <c r="K87" s="8"/>
      <c r="L87" s="8"/>
    </row>
    <row r="88" spans="1:12" hidden="1" x14ac:dyDescent="0.45">
      <c r="A88" s="5" t="s">
        <v>1</v>
      </c>
      <c r="B88" s="5"/>
      <c r="C88" s="22"/>
      <c r="D88" s="17"/>
      <c r="E88" s="22"/>
      <c r="F88" s="5"/>
      <c r="G88" s="5"/>
      <c r="H88" s="5"/>
      <c r="I88" s="5"/>
      <c r="J88" s="5"/>
      <c r="K88" s="5"/>
      <c r="L88" s="5"/>
    </row>
    <row r="89" spans="1:12" hidden="1" x14ac:dyDescent="0.45">
      <c r="A89" s="13" t="s">
        <v>2</v>
      </c>
      <c r="B89" s="13"/>
      <c r="C89" s="23"/>
      <c r="D89" s="18"/>
      <c r="E89" s="23"/>
      <c r="F89" s="13"/>
      <c r="G89" s="13"/>
      <c r="H89" s="13"/>
      <c r="I89" s="13"/>
      <c r="J89" s="13"/>
      <c r="K89" s="13"/>
      <c r="L89" s="13"/>
    </row>
    <row r="90" spans="1:12" hidden="1" x14ac:dyDescent="0.45">
      <c r="A90" s="4" t="s">
        <v>66</v>
      </c>
    </row>
    <row r="91" spans="1:12" hidden="1" x14ac:dyDescent="0.45">
      <c r="A91" s="8"/>
      <c r="B91" s="8" t="s">
        <v>4</v>
      </c>
      <c r="C91" s="21" t="s">
        <v>6</v>
      </c>
      <c r="D91" s="16" t="s">
        <v>7</v>
      </c>
      <c r="E91" s="21" t="s">
        <v>8</v>
      </c>
      <c r="F91" s="8" t="s">
        <v>9</v>
      </c>
      <c r="G91" s="8" t="s">
        <v>41</v>
      </c>
      <c r="H91" s="8"/>
      <c r="I91" s="8"/>
      <c r="J91" s="8"/>
      <c r="K91" s="8"/>
      <c r="L91" s="8"/>
    </row>
    <row r="92" spans="1:12" hidden="1" x14ac:dyDescent="0.45">
      <c r="A92" s="5"/>
      <c r="B92" s="5">
        <v>1</v>
      </c>
      <c r="C92" s="22"/>
      <c r="D92" s="17" t="s">
        <v>67</v>
      </c>
      <c r="E92" s="22"/>
      <c r="F92" s="5">
        <v>2</v>
      </c>
      <c r="G92" s="5"/>
      <c r="H92" s="5" t="s">
        <v>7</v>
      </c>
      <c r="I92" s="5"/>
      <c r="J92" s="5">
        <v>0.9</v>
      </c>
      <c r="K92" s="5"/>
      <c r="L92" s="5"/>
    </row>
    <row r="93" spans="1:12" hidden="1" x14ac:dyDescent="0.45">
      <c r="A93" s="13"/>
      <c r="B93" s="13">
        <v>2</v>
      </c>
      <c r="C93" s="23"/>
      <c r="D93" s="18" t="s">
        <v>67</v>
      </c>
      <c r="E93" s="23"/>
      <c r="F93" s="13">
        <v>2</v>
      </c>
      <c r="G93" s="13"/>
      <c r="H93" s="13" t="s">
        <v>7</v>
      </c>
      <c r="I93" s="13"/>
      <c r="J93" s="13">
        <v>0.8</v>
      </c>
      <c r="K93" s="13"/>
      <c r="L93" s="13"/>
    </row>
    <row r="94" spans="1:12" hidden="1" x14ac:dyDescent="0.45">
      <c r="A94" s="4" t="s">
        <v>0</v>
      </c>
    </row>
    <row r="95" spans="1:12" hidden="1" x14ac:dyDescent="0.45">
      <c r="A95" s="8" t="s">
        <v>1</v>
      </c>
      <c r="B95" s="8"/>
      <c r="C95" s="21"/>
      <c r="D95" s="16"/>
      <c r="E95" s="21"/>
      <c r="F95" s="8"/>
      <c r="G95" s="8"/>
      <c r="H95" s="8"/>
      <c r="I95" s="8"/>
      <c r="J95" s="8"/>
      <c r="K95" s="8"/>
      <c r="L95" s="8"/>
    </row>
    <row r="96" spans="1:12" hidden="1" x14ac:dyDescent="0.45">
      <c r="A96" s="5" t="s">
        <v>2</v>
      </c>
      <c r="B96" s="5"/>
      <c r="C96" s="22"/>
      <c r="D96" s="17"/>
      <c r="E96" s="22"/>
      <c r="F96" s="5"/>
      <c r="G96" s="5"/>
      <c r="H96" s="5"/>
      <c r="I96" s="5"/>
      <c r="J96" s="5"/>
      <c r="K96" s="5"/>
      <c r="L96" s="5"/>
    </row>
    <row r="97" spans="1:12" hidden="1" x14ac:dyDescent="0.45">
      <c r="A97" s="13" t="s">
        <v>68</v>
      </c>
      <c r="B97" s="13"/>
      <c r="C97" s="23"/>
      <c r="D97" s="18"/>
      <c r="E97" s="23"/>
      <c r="F97" s="13"/>
      <c r="G97" s="13"/>
      <c r="H97" s="13"/>
      <c r="I97" s="13"/>
      <c r="J97" s="13"/>
      <c r="K97" s="13"/>
      <c r="L97" s="13"/>
    </row>
    <row r="98" spans="1:12" hidden="1" x14ac:dyDescent="0.45">
      <c r="B98" s="4" t="s">
        <v>4</v>
      </c>
      <c r="C98" s="12" t="s">
        <v>6</v>
      </c>
      <c r="D98" s="10" t="s">
        <v>7</v>
      </c>
      <c r="E98" s="12" t="s">
        <v>8</v>
      </c>
      <c r="F98" s="4" t="s">
        <v>9</v>
      </c>
    </row>
    <row r="99" spans="1:12" hidden="1" x14ac:dyDescent="0.45">
      <c r="A99" s="8"/>
      <c r="B99" s="8">
        <v>1</v>
      </c>
      <c r="C99" s="21"/>
      <c r="D99" s="16" t="s">
        <v>69</v>
      </c>
      <c r="E99" s="21"/>
      <c r="F99" s="8">
        <v>1</v>
      </c>
      <c r="G99" s="8" t="s">
        <v>70</v>
      </c>
      <c r="H99" s="8"/>
      <c r="I99" s="8"/>
      <c r="J99" s="8">
        <v>51.6</v>
      </c>
      <c r="K99" s="8">
        <f t="shared" ref="K99:K104" si="6">J99*F99</f>
        <v>51.6</v>
      </c>
      <c r="L99" s="8"/>
    </row>
    <row r="100" spans="1:12" hidden="1" x14ac:dyDescent="0.45">
      <c r="A100" s="5"/>
      <c r="B100" s="5">
        <v>2</v>
      </c>
      <c r="C100" s="22"/>
      <c r="D100" s="17" t="s">
        <v>69</v>
      </c>
      <c r="E100" s="22"/>
      <c r="F100" s="5">
        <v>1</v>
      </c>
      <c r="G100" s="5" t="s">
        <v>70</v>
      </c>
      <c r="H100" s="5"/>
      <c r="I100" s="5"/>
      <c r="J100" s="5">
        <v>10</v>
      </c>
      <c r="K100" s="5">
        <f t="shared" si="6"/>
        <v>10</v>
      </c>
      <c r="L100" s="5"/>
    </row>
    <row r="101" spans="1:12" hidden="1" x14ac:dyDescent="0.45">
      <c r="A101" s="13"/>
      <c r="B101" s="13">
        <v>3</v>
      </c>
      <c r="C101" s="23"/>
      <c r="D101" s="18" t="s">
        <v>69</v>
      </c>
      <c r="E101" s="23"/>
      <c r="F101" s="13">
        <v>1</v>
      </c>
      <c r="G101" s="13" t="s">
        <v>70</v>
      </c>
      <c r="H101" s="13"/>
      <c r="I101" s="13"/>
      <c r="J101" s="13">
        <v>45.9</v>
      </c>
      <c r="K101" s="13">
        <f t="shared" si="6"/>
        <v>45.9</v>
      </c>
      <c r="L101" s="13"/>
    </row>
    <row r="102" spans="1:12" hidden="1" x14ac:dyDescent="0.45">
      <c r="B102" s="4">
        <v>4</v>
      </c>
      <c r="D102" s="10" t="s">
        <v>69</v>
      </c>
      <c r="F102" s="4">
        <v>1</v>
      </c>
      <c r="G102" s="4" t="s">
        <v>70</v>
      </c>
      <c r="J102" s="4">
        <v>44.4</v>
      </c>
      <c r="K102" s="4">
        <f t="shared" si="6"/>
        <v>44.4</v>
      </c>
    </row>
    <row r="103" spans="1:12" hidden="1" x14ac:dyDescent="0.45">
      <c r="A103" s="8"/>
      <c r="B103" s="8">
        <v>5</v>
      </c>
      <c r="C103" s="21"/>
      <c r="D103" s="16" t="s">
        <v>69</v>
      </c>
      <c r="E103" s="21"/>
      <c r="F103" s="8">
        <v>1</v>
      </c>
      <c r="G103" s="8" t="s">
        <v>70</v>
      </c>
      <c r="H103" s="8"/>
      <c r="I103" s="8"/>
      <c r="J103" s="8">
        <v>48.7</v>
      </c>
      <c r="K103" s="8">
        <f t="shared" si="6"/>
        <v>48.7</v>
      </c>
      <c r="L103" s="8"/>
    </row>
    <row r="104" spans="1:12" hidden="1" x14ac:dyDescent="0.45">
      <c r="A104" s="5"/>
      <c r="B104" s="5">
        <v>6</v>
      </c>
      <c r="C104" s="22"/>
      <c r="D104" s="17" t="s">
        <v>69</v>
      </c>
      <c r="E104" s="22"/>
      <c r="F104" s="5">
        <v>1</v>
      </c>
      <c r="G104" s="5" t="s">
        <v>70</v>
      </c>
      <c r="H104" s="5"/>
      <c r="I104" s="5"/>
      <c r="J104" s="5">
        <v>9.1</v>
      </c>
      <c r="K104" s="5">
        <f t="shared" si="6"/>
        <v>9.1</v>
      </c>
      <c r="L104" s="5"/>
    </row>
    <row r="105" spans="1:12" hidden="1" x14ac:dyDescent="0.45">
      <c r="A105" s="13" t="s">
        <v>0</v>
      </c>
      <c r="B105" s="13"/>
      <c r="C105" s="23"/>
      <c r="D105" s="18"/>
      <c r="E105" s="23"/>
      <c r="F105" s="13"/>
      <c r="G105" s="13"/>
      <c r="H105" s="13"/>
      <c r="I105" s="13"/>
      <c r="J105" s="13"/>
      <c r="K105" s="13"/>
      <c r="L105" s="13"/>
    </row>
    <row r="106" spans="1:12" hidden="1" x14ac:dyDescent="0.45">
      <c r="A106" s="4" t="s">
        <v>1</v>
      </c>
    </row>
    <row r="107" spans="1:12" hidden="1" x14ac:dyDescent="0.45">
      <c r="A107" s="8" t="s">
        <v>2</v>
      </c>
      <c r="B107" s="8"/>
      <c r="C107" s="21"/>
      <c r="D107" s="16"/>
      <c r="E107" s="21"/>
      <c r="F107" s="8"/>
      <c r="G107" s="8"/>
      <c r="H107" s="8"/>
      <c r="I107" s="8"/>
      <c r="J107" s="8"/>
      <c r="K107" s="8"/>
      <c r="L107" s="8"/>
    </row>
    <row r="108" spans="1:12" hidden="1" x14ac:dyDescent="0.45">
      <c r="A108" s="5" t="s">
        <v>68</v>
      </c>
      <c r="B108" s="5"/>
      <c r="C108" s="22"/>
      <c r="D108" s="17"/>
      <c r="E108" s="22"/>
      <c r="F108" s="5"/>
      <c r="G108" s="5"/>
      <c r="H108" s="5"/>
      <c r="I108" s="5"/>
      <c r="J108" s="5"/>
      <c r="K108" s="5"/>
      <c r="L108" s="5"/>
    </row>
    <row r="109" spans="1:12" hidden="1" x14ac:dyDescent="0.45">
      <c r="A109" s="13"/>
      <c r="B109" s="13" t="s">
        <v>4</v>
      </c>
      <c r="C109" s="23" t="s">
        <v>6</v>
      </c>
      <c r="D109" s="18" t="s">
        <v>7</v>
      </c>
      <c r="E109" s="23" t="s">
        <v>8</v>
      </c>
      <c r="F109" s="13" t="s">
        <v>9</v>
      </c>
      <c r="G109" s="13"/>
      <c r="H109" s="13"/>
      <c r="I109" s="13"/>
      <c r="J109" s="13"/>
      <c r="K109" s="13"/>
      <c r="L109" s="13"/>
    </row>
    <row r="110" spans="1:12" hidden="1" x14ac:dyDescent="0.45">
      <c r="B110" s="4">
        <v>1</v>
      </c>
      <c r="D110" s="10" t="s">
        <v>69</v>
      </c>
      <c r="F110" s="4">
        <v>1</v>
      </c>
      <c r="G110" s="4" t="s">
        <v>70</v>
      </c>
      <c r="J110" s="4">
        <v>51.6</v>
      </c>
      <c r="K110" s="4">
        <f t="shared" ref="K110:K115" si="7">J110*F110</f>
        <v>51.6</v>
      </c>
    </row>
    <row r="111" spans="1:12" hidden="1" x14ac:dyDescent="0.45">
      <c r="A111" s="8"/>
      <c r="B111" s="8">
        <v>2</v>
      </c>
      <c r="C111" s="21"/>
      <c r="D111" s="16" t="s">
        <v>69</v>
      </c>
      <c r="E111" s="21"/>
      <c r="F111" s="8">
        <v>1</v>
      </c>
      <c r="G111" s="8" t="s">
        <v>70</v>
      </c>
      <c r="H111" s="8"/>
      <c r="I111" s="8"/>
      <c r="J111" s="8">
        <v>10</v>
      </c>
      <c r="K111" s="8">
        <f t="shared" si="7"/>
        <v>10</v>
      </c>
      <c r="L111" s="8"/>
    </row>
    <row r="112" spans="1:12" hidden="1" x14ac:dyDescent="0.45">
      <c r="A112" s="5"/>
      <c r="B112" s="5">
        <v>3</v>
      </c>
      <c r="C112" s="22"/>
      <c r="D112" s="17" t="s">
        <v>69</v>
      </c>
      <c r="E112" s="22"/>
      <c r="F112" s="5">
        <v>1</v>
      </c>
      <c r="G112" s="5" t="s">
        <v>70</v>
      </c>
      <c r="H112" s="5"/>
      <c r="I112" s="5"/>
      <c r="J112" s="5">
        <v>45.9</v>
      </c>
      <c r="K112" s="5">
        <f t="shared" si="7"/>
        <v>45.9</v>
      </c>
      <c r="L112" s="5"/>
    </row>
    <row r="113" spans="1:12" hidden="1" x14ac:dyDescent="0.45">
      <c r="A113" s="13"/>
      <c r="B113" s="13">
        <v>4</v>
      </c>
      <c r="C113" s="23"/>
      <c r="D113" s="18" t="s">
        <v>69</v>
      </c>
      <c r="E113" s="23"/>
      <c r="F113" s="13">
        <v>1</v>
      </c>
      <c r="G113" s="13" t="s">
        <v>70</v>
      </c>
      <c r="H113" s="13"/>
      <c r="I113" s="13"/>
      <c r="J113" s="13">
        <v>44.4</v>
      </c>
      <c r="K113" s="13">
        <f t="shared" si="7"/>
        <v>44.4</v>
      </c>
      <c r="L113" s="13"/>
    </row>
    <row r="114" spans="1:12" hidden="1" x14ac:dyDescent="0.45">
      <c r="B114" s="4">
        <v>5</v>
      </c>
      <c r="D114" s="10" t="s">
        <v>69</v>
      </c>
      <c r="F114" s="4">
        <v>1</v>
      </c>
      <c r="G114" s="4" t="s">
        <v>70</v>
      </c>
      <c r="J114" s="4">
        <v>48.7</v>
      </c>
      <c r="K114" s="4">
        <f t="shared" si="7"/>
        <v>48.7</v>
      </c>
    </row>
    <row r="115" spans="1:12" hidden="1" x14ac:dyDescent="0.45">
      <c r="A115" s="8"/>
      <c r="B115" s="8">
        <v>6</v>
      </c>
      <c r="C115" s="21"/>
      <c r="D115" s="16" t="s">
        <v>69</v>
      </c>
      <c r="E115" s="21"/>
      <c r="F115" s="8">
        <v>1</v>
      </c>
      <c r="G115" s="8" t="s">
        <v>70</v>
      </c>
      <c r="H115" s="8"/>
      <c r="I115" s="8"/>
      <c r="J115" s="8">
        <v>9.1</v>
      </c>
      <c r="K115" s="8">
        <f t="shared" si="7"/>
        <v>9.1</v>
      </c>
      <c r="L115" s="8"/>
    </row>
    <row r="116" spans="1:12" hidden="1" x14ac:dyDescent="0.45">
      <c r="A116" s="5" t="s">
        <v>0</v>
      </c>
      <c r="B116" s="5"/>
      <c r="C116" s="22"/>
      <c r="D116" s="17"/>
      <c r="E116" s="22"/>
      <c r="F116" s="5"/>
      <c r="G116" s="5"/>
      <c r="H116" s="5"/>
      <c r="I116" s="5"/>
      <c r="J116" s="5"/>
      <c r="K116" s="5"/>
      <c r="L116" s="5"/>
    </row>
    <row r="117" spans="1:12" hidden="1" x14ac:dyDescent="0.45">
      <c r="A117" s="13" t="s">
        <v>1</v>
      </c>
      <c r="B117" s="13"/>
      <c r="C117" s="23"/>
      <c r="D117" s="18"/>
      <c r="E117" s="23"/>
      <c r="F117" s="13"/>
      <c r="G117" s="13"/>
      <c r="H117" s="13"/>
      <c r="I117" s="13"/>
      <c r="J117" s="13"/>
      <c r="K117" s="13"/>
      <c r="L117" s="13"/>
    </row>
    <row r="118" spans="1:12" hidden="1" x14ac:dyDescent="0.45">
      <c r="A118" s="4" t="s">
        <v>2</v>
      </c>
    </row>
    <row r="119" spans="1:12" hidden="1" x14ac:dyDescent="0.45">
      <c r="A119" s="8" t="s">
        <v>71</v>
      </c>
      <c r="B119" s="8"/>
      <c r="C119" s="21"/>
      <c r="D119" s="16"/>
      <c r="E119" s="21"/>
      <c r="F119" s="8"/>
      <c r="G119" s="8"/>
      <c r="H119" s="8"/>
      <c r="I119" s="8"/>
      <c r="J119" s="8"/>
      <c r="K119" s="8"/>
      <c r="L119" s="8"/>
    </row>
    <row r="120" spans="1:12" hidden="1" x14ac:dyDescent="0.45">
      <c r="A120" s="5"/>
      <c r="B120" s="5" t="s">
        <v>4</v>
      </c>
      <c r="C120" s="22" t="s">
        <v>6</v>
      </c>
      <c r="D120" s="17" t="s">
        <v>7</v>
      </c>
      <c r="E120" s="22" t="s">
        <v>8</v>
      </c>
      <c r="F120" s="5" t="s">
        <v>9</v>
      </c>
      <c r="G120" s="5"/>
      <c r="H120" s="5"/>
      <c r="I120" s="5"/>
      <c r="J120" s="5"/>
      <c r="K120" s="5"/>
      <c r="L120" s="5"/>
    </row>
    <row r="121" spans="1:12" hidden="1" x14ac:dyDescent="0.45">
      <c r="A121" s="13"/>
      <c r="B121" s="13">
        <v>1</v>
      </c>
      <c r="C121" s="23"/>
      <c r="D121" s="18" t="s">
        <v>72</v>
      </c>
      <c r="E121" s="23"/>
      <c r="F121" s="13">
        <v>1</v>
      </c>
      <c r="G121" s="13" t="s">
        <v>70</v>
      </c>
      <c r="H121" s="13"/>
      <c r="I121" s="13"/>
      <c r="J121" s="13">
        <v>9.1</v>
      </c>
      <c r="K121" s="13">
        <f t="shared" ref="K121:K126" si="8">J121*F121</f>
        <v>9.1</v>
      </c>
      <c r="L121" s="13"/>
    </row>
    <row r="122" spans="1:12" hidden="1" x14ac:dyDescent="0.45">
      <c r="B122" s="4">
        <v>2</v>
      </c>
      <c r="D122" s="10" t="s">
        <v>72</v>
      </c>
      <c r="F122" s="4">
        <v>1</v>
      </c>
      <c r="G122" s="4" t="s">
        <v>70</v>
      </c>
      <c r="J122" s="4">
        <v>10</v>
      </c>
      <c r="K122" s="4">
        <f t="shared" si="8"/>
        <v>10</v>
      </c>
    </row>
    <row r="123" spans="1:12" hidden="1" x14ac:dyDescent="0.45">
      <c r="A123" s="8"/>
      <c r="B123" s="8">
        <v>3</v>
      </c>
      <c r="C123" s="21"/>
      <c r="D123" s="16" t="s">
        <v>72</v>
      </c>
      <c r="E123" s="21"/>
      <c r="F123" s="8">
        <v>1</v>
      </c>
      <c r="G123" s="8" t="s">
        <v>70</v>
      </c>
      <c r="H123" s="8"/>
      <c r="I123" s="8"/>
      <c r="J123" s="8">
        <v>48.7</v>
      </c>
      <c r="K123" s="8">
        <f t="shared" si="8"/>
        <v>48.7</v>
      </c>
      <c r="L123" s="8"/>
    </row>
    <row r="124" spans="1:12" hidden="1" x14ac:dyDescent="0.45">
      <c r="A124" s="5"/>
      <c r="B124" s="5">
        <v>4</v>
      </c>
      <c r="C124" s="22"/>
      <c r="D124" s="17" t="s">
        <v>72</v>
      </c>
      <c r="E124" s="22"/>
      <c r="F124" s="5">
        <v>1</v>
      </c>
      <c r="G124" s="5" t="s">
        <v>70</v>
      </c>
      <c r="H124" s="5"/>
      <c r="I124" s="5"/>
      <c r="J124" s="5">
        <v>45.9</v>
      </c>
      <c r="K124" s="5">
        <f t="shared" si="8"/>
        <v>45.9</v>
      </c>
      <c r="L124" s="5"/>
    </row>
    <row r="125" spans="1:12" hidden="1" x14ac:dyDescent="0.45">
      <c r="A125" s="13"/>
      <c r="B125" s="13">
        <v>5</v>
      </c>
      <c r="C125" s="23"/>
      <c r="D125" s="18" t="s">
        <v>72</v>
      </c>
      <c r="E125" s="23"/>
      <c r="F125" s="13">
        <v>1</v>
      </c>
      <c r="G125" s="13" t="s">
        <v>70</v>
      </c>
      <c r="H125" s="13"/>
      <c r="I125" s="13"/>
      <c r="J125" s="13">
        <v>51.5</v>
      </c>
      <c r="K125" s="13">
        <f t="shared" si="8"/>
        <v>51.5</v>
      </c>
      <c r="L125" s="13"/>
    </row>
    <row r="126" spans="1:12" hidden="1" x14ac:dyDescent="0.45">
      <c r="B126" s="4">
        <v>6</v>
      </c>
      <c r="D126" s="10" t="s">
        <v>72</v>
      </c>
      <c r="F126" s="4">
        <v>1</v>
      </c>
      <c r="G126" s="4" t="s">
        <v>70</v>
      </c>
      <c r="J126" s="4">
        <v>44.3</v>
      </c>
      <c r="K126" s="4">
        <f t="shared" si="8"/>
        <v>44.3</v>
      </c>
    </row>
    <row r="127" spans="1:12" hidden="1" x14ac:dyDescent="0.45">
      <c r="A127" s="8"/>
      <c r="B127" s="8">
        <v>7</v>
      </c>
      <c r="C127" s="21"/>
      <c r="D127" s="16" t="s">
        <v>72</v>
      </c>
      <c r="E127" s="21"/>
      <c r="F127" s="8">
        <v>10</v>
      </c>
      <c r="G127" s="8" t="s">
        <v>452</v>
      </c>
      <c r="H127" s="8"/>
      <c r="I127" s="8"/>
      <c r="J127" s="8"/>
      <c r="K127" s="8"/>
      <c r="L127" s="8"/>
    </row>
    <row r="128" spans="1:12" hidden="1" x14ac:dyDescent="0.45">
      <c r="A128" s="5" t="s">
        <v>0</v>
      </c>
      <c r="B128" s="5"/>
      <c r="C128" s="22"/>
      <c r="D128" s="17"/>
      <c r="E128" s="22"/>
      <c r="F128" s="5"/>
      <c r="G128" s="5"/>
      <c r="H128" s="5"/>
      <c r="I128" s="5"/>
      <c r="J128" s="5"/>
      <c r="K128" s="5"/>
      <c r="L128" s="5"/>
    </row>
    <row r="129" spans="1:12" hidden="1" x14ac:dyDescent="0.45">
      <c r="A129" s="13" t="s">
        <v>1</v>
      </c>
      <c r="B129" s="13"/>
      <c r="C129" s="23"/>
      <c r="D129" s="18"/>
      <c r="E129" s="23"/>
      <c r="F129" s="13"/>
      <c r="G129" s="13"/>
      <c r="H129" s="13"/>
      <c r="I129" s="13"/>
      <c r="J129" s="13"/>
      <c r="K129" s="13"/>
      <c r="L129" s="13"/>
    </row>
    <row r="130" spans="1:12" hidden="1" x14ac:dyDescent="0.45">
      <c r="A130" s="4" t="s">
        <v>2</v>
      </c>
    </row>
    <row r="131" spans="1:12" hidden="1" x14ac:dyDescent="0.45">
      <c r="A131" s="8" t="s">
        <v>74</v>
      </c>
      <c r="B131" s="8"/>
      <c r="C131" s="21"/>
      <c r="D131" s="16"/>
      <c r="E131" s="21"/>
      <c r="F131" s="8"/>
      <c r="G131" s="8"/>
      <c r="H131" s="8"/>
      <c r="I131" s="8"/>
      <c r="J131" s="8"/>
      <c r="K131" s="8"/>
      <c r="L131" s="8"/>
    </row>
    <row r="132" spans="1:12" hidden="1" x14ac:dyDescent="0.45">
      <c r="A132" s="5"/>
      <c r="B132" s="5" t="s">
        <v>4</v>
      </c>
      <c r="C132" s="22" t="s">
        <v>6</v>
      </c>
      <c r="D132" s="17" t="s">
        <v>7</v>
      </c>
      <c r="E132" s="22" t="s">
        <v>8</v>
      </c>
      <c r="F132" s="5" t="s">
        <v>9</v>
      </c>
      <c r="G132" s="5" t="s">
        <v>12</v>
      </c>
      <c r="H132" s="5"/>
      <c r="I132" s="5"/>
      <c r="J132" s="5"/>
      <c r="K132" s="5"/>
      <c r="L132" s="5"/>
    </row>
    <row r="133" spans="1:12" hidden="1" x14ac:dyDescent="0.45">
      <c r="A133" s="13"/>
      <c r="B133" s="13">
        <v>1</v>
      </c>
      <c r="C133" s="23"/>
      <c r="D133" s="18" t="s">
        <v>75</v>
      </c>
      <c r="E133" s="23"/>
      <c r="F133" s="13">
        <v>2</v>
      </c>
      <c r="G133" s="13" t="s">
        <v>43</v>
      </c>
      <c r="H133" s="13"/>
      <c r="I133" s="13" t="s">
        <v>7</v>
      </c>
      <c r="J133" s="13"/>
      <c r="K133" s="13">
        <f t="shared" ref="K133:K134" si="9">J133*F133</f>
        <v>0</v>
      </c>
      <c r="L133" s="13"/>
    </row>
    <row r="134" spans="1:12" hidden="1" x14ac:dyDescent="0.45">
      <c r="B134" s="4">
        <v>2</v>
      </c>
      <c r="D134" s="10" t="s">
        <v>75</v>
      </c>
      <c r="F134" s="4">
        <v>1</v>
      </c>
      <c r="G134" s="4" t="s">
        <v>43</v>
      </c>
      <c r="I134" s="4" t="s">
        <v>7</v>
      </c>
      <c r="K134" s="4">
        <f t="shared" si="9"/>
        <v>0</v>
      </c>
    </row>
    <row r="135" spans="1:12" hidden="1" x14ac:dyDescent="0.45">
      <c r="A135" s="8" t="s">
        <v>0</v>
      </c>
      <c r="B135" s="8"/>
      <c r="C135" s="21"/>
      <c r="D135" s="16"/>
      <c r="E135" s="21"/>
      <c r="F135" s="8"/>
      <c r="G135" s="8"/>
      <c r="H135" s="8"/>
      <c r="I135" s="8"/>
      <c r="J135" s="8"/>
      <c r="K135" s="8"/>
      <c r="L135" s="8"/>
    </row>
    <row r="136" spans="1:12" hidden="1" x14ac:dyDescent="0.45">
      <c r="A136" s="5" t="s">
        <v>1</v>
      </c>
      <c r="B136" s="5"/>
      <c r="C136" s="22"/>
      <c r="D136" s="17"/>
      <c r="E136" s="22"/>
      <c r="F136" s="5"/>
      <c r="G136" s="5"/>
      <c r="H136" s="5"/>
      <c r="I136" s="5"/>
      <c r="J136" s="5"/>
      <c r="K136" s="5"/>
      <c r="L136" s="5"/>
    </row>
    <row r="137" spans="1:12" hidden="1" x14ac:dyDescent="0.45">
      <c r="A137" s="13" t="s">
        <v>2</v>
      </c>
      <c r="B137" s="13"/>
      <c r="C137" s="23"/>
      <c r="D137" s="18"/>
      <c r="E137" s="23"/>
      <c r="F137" s="13"/>
      <c r="G137" s="13"/>
      <c r="H137" s="13"/>
      <c r="I137" s="13"/>
      <c r="J137" s="13"/>
      <c r="K137" s="13"/>
      <c r="L137" s="13"/>
    </row>
    <row r="138" spans="1:12" hidden="1" x14ac:dyDescent="0.45">
      <c r="A138" s="4" t="s">
        <v>76</v>
      </c>
    </row>
    <row r="139" spans="1:12" hidden="1" x14ac:dyDescent="0.45">
      <c r="A139" s="8"/>
      <c r="B139" s="8" t="s">
        <v>4</v>
      </c>
      <c r="C139" s="21" t="s">
        <v>6</v>
      </c>
      <c r="D139" s="16" t="s">
        <v>7</v>
      </c>
      <c r="E139" s="21" t="s">
        <v>8</v>
      </c>
      <c r="F139" s="8" t="s">
        <v>9</v>
      </c>
      <c r="G139" s="8"/>
      <c r="H139" s="8" t="s">
        <v>14</v>
      </c>
      <c r="I139" s="8"/>
      <c r="J139" s="8" t="s">
        <v>13</v>
      </c>
      <c r="K139" s="8"/>
      <c r="L139" s="8"/>
    </row>
    <row r="140" spans="1:12" hidden="1" x14ac:dyDescent="0.45">
      <c r="A140" s="5"/>
      <c r="B140" s="5">
        <v>1</v>
      </c>
      <c r="C140" s="22"/>
      <c r="D140" s="17" t="s">
        <v>77</v>
      </c>
      <c r="E140" s="22"/>
      <c r="F140" s="5">
        <v>1</v>
      </c>
      <c r="G140" s="5" t="s">
        <v>33</v>
      </c>
      <c r="H140" s="5"/>
      <c r="I140" s="5">
        <v>2502</v>
      </c>
      <c r="J140" s="5">
        <v>29.6</v>
      </c>
      <c r="K140" s="5">
        <f t="shared" ref="K140:K144" si="10">J140*F140</f>
        <v>29.6</v>
      </c>
      <c r="L140" s="5"/>
    </row>
    <row r="141" spans="1:12" hidden="1" x14ac:dyDescent="0.45">
      <c r="A141" s="13"/>
      <c r="B141" s="13">
        <v>2</v>
      </c>
      <c r="C141" s="23"/>
      <c r="D141" s="18" t="s">
        <v>77</v>
      </c>
      <c r="E141" s="23"/>
      <c r="F141" s="13">
        <v>1</v>
      </c>
      <c r="G141" s="13" t="s">
        <v>33</v>
      </c>
      <c r="H141" s="13"/>
      <c r="I141" s="13">
        <v>2807</v>
      </c>
      <c r="J141" s="13">
        <v>31.4</v>
      </c>
      <c r="K141" s="13">
        <f t="shared" si="10"/>
        <v>31.4</v>
      </c>
      <c r="L141" s="13"/>
    </row>
    <row r="142" spans="1:12" hidden="1" x14ac:dyDescent="0.45">
      <c r="B142" s="4">
        <v>3</v>
      </c>
      <c r="D142" s="10" t="s">
        <v>77</v>
      </c>
      <c r="F142" s="4">
        <v>1</v>
      </c>
      <c r="G142" s="4" t="s">
        <v>33</v>
      </c>
      <c r="I142" s="4">
        <v>2495</v>
      </c>
      <c r="J142" s="4">
        <v>28.6</v>
      </c>
      <c r="K142" s="4">
        <f t="shared" si="10"/>
        <v>28.6</v>
      </c>
    </row>
    <row r="143" spans="1:12" hidden="1" x14ac:dyDescent="0.45">
      <c r="A143" s="8"/>
      <c r="B143" s="8">
        <v>4</v>
      </c>
      <c r="C143" s="21"/>
      <c r="D143" s="16" t="s">
        <v>77</v>
      </c>
      <c r="E143" s="21"/>
      <c r="F143" s="8">
        <v>1</v>
      </c>
      <c r="G143" s="8" t="s">
        <v>33</v>
      </c>
      <c r="H143" s="8"/>
      <c r="I143" s="8">
        <v>2495</v>
      </c>
      <c r="J143" s="8">
        <v>28.5</v>
      </c>
      <c r="K143" s="8">
        <f t="shared" si="10"/>
        <v>28.5</v>
      </c>
      <c r="L143" s="8"/>
    </row>
    <row r="144" spans="1:12" hidden="1" x14ac:dyDescent="0.45">
      <c r="A144" s="5"/>
      <c r="B144" s="5">
        <v>5</v>
      </c>
      <c r="C144" s="22"/>
      <c r="D144" s="17" t="s">
        <v>77</v>
      </c>
      <c r="E144" s="22"/>
      <c r="F144" s="5">
        <v>5</v>
      </c>
      <c r="G144" s="5" t="s">
        <v>477</v>
      </c>
      <c r="H144" s="5" t="s">
        <v>38</v>
      </c>
      <c r="I144" s="5" t="s">
        <v>73</v>
      </c>
      <c r="J144" s="5">
        <v>0.1</v>
      </c>
      <c r="K144" s="5">
        <f t="shared" si="10"/>
        <v>0.5</v>
      </c>
      <c r="L144" s="5"/>
    </row>
    <row r="145" spans="1:12" hidden="1" x14ac:dyDescent="0.45">
      <c r="A145" s="13" t="s">
        <v>0</v>
      </c>
      <c r="B145" s="13"/>
      <c r="C145" s="23"/>
      <c r="D145" s="18"/>
      <c r="E145" s="23"/>
      <c r="F145" s="13"/>
      <c r="G145" s="13"/>
      <c r="H145" s="13"/>
      <c r="I145" s="13"/>
      <c r="J145" s="13">
        <v>1.8</v>
      </c>
      <c r="K145" s="13"/>
      <c r="L145" s="13"/>
    </row>
    <row r="146" spans="1:12" hidden="1" x14ac:dyDescent="0.45">
      <c r="A146" s="4" t="s">
        <v>1</v>
      </c>
      <c r="J146" s="4">
        <v>1</v>
      </c>
    </row>
    <row r="147" spans="1:12" hidden="1" x14ac:dyDescent="0.45">
      <c r="A147" s="8" t="s">
        <v>2</v>
      </c>
      <c r="B147" s="8"/>
      <c r="C147" s="21"/>
      <c r="D147" s="16"/>
      <c r="E147" s="21"/>
      <c r="F147" s="8"/>
      <c r="G147" s="8"/>
      <c r="H147" s="8"/>
      <c r="I147" s="8"/>
      <c r="J147" s="8"/>
      <c r="K147" s="8"/>
      <c r="L147" s="8"/>
    </row>
    <row r="148" spans="1:12" hidden="1" x14ac:dyDescent="0.45">
      <c r="A148" s="5" t="s">
        <v>78</v>
      </c>
      <c r="B148" s="5"/>
      <c r="C148" s="22"/>
      <c r="D148" s="17"/>
      <c r="E148" s="22"/>
      <c r="F148" s="5"/>
      <c r="G148" s="5"/>
      <c r="H148" s="5"/>
      <c r="I148" s="5"/>
      <c r="J148" s="5"/>
      <c r="K148" s="5"/>
      <c r="L148" s="5"/>
    </row>
    <row r="149" spans="1:12" hidden="1" x14ac:dyDescent="0.45">
      <c r="A149" s="13"/>
      <c r="B149" s="13" t="s">
        <v>4</v>
      </c>
      <c r="C149" s="23" t="s">
        <v>6</v>
      </c>
      <c r="D149" s="18" t="s">
        <v>7</v>
      </c>
      <c r="E149" s="23" t="s">
        <v>8</v>
      </c>
      <c r="F149" s="13" t="s">
        <v>9</v>
      </c>
      <c r="G149" s="13" t="s">
        <v>12</v>
      </c>
      <c r="H149" s="13"/>
      <c r="I149" s="13"/>
      <c r="J149" s="13"/>
      <c r="K149" s="13"/>
      <c r="L149" s="13"/>
    </row>
    <row r="150" spans="1:12" hidden="1" x14ac:dyDescent="0.45">
      <c r="B150" s="4">
        <v>1</v>
      </c>
      <c r="D150" s="10" t="s">
        <v>79</v>
      </c>
      <c r="F150" s="4">
        <v>2</v>
      </c>
      <c r="G150" s="4" t="s">
        <v>43</v>
      </c>
      <c r="J150" s="4">
        <v>3.3</v>
      </c>
      <c r="K150" s="4">
        <f t="shared" ref="K150:K153" si="11">J150*F150</f>
        <v>6.6</v>
      </c>
    </row>
    <row r="151" spans="1:12" hidden="1" x14ac:dyDescent="0.45">
      <c r="A151" s="8"/>
      <c r="B151" s="8">
        <v>2</v>
      </c>
      <c r="C151" s="21"/>
      <c r="D151" s="16" t="s">
        <v>79</v>
      </c>
      <c r="E151" s="21"/>
      <c r="F151" s="8">
        <v>2</v>
      </c>
      <c r="G151" s="8" t="s">
        <v>43</v>
      </c>
      <c r="H151" s="8"/>
      <c r="I151" s="8" t="s">
        <v>7</v>
      </c>
      <c r="J151" s="8">
        <v>3.6</v>
      </c>
      <c r="K151" s="8">
        <f t="shared" si="11"/>
        <v>7.2</v>
      </c>
      <c r="L151" s="8"/>
    </row>
    <row r="152" spans="1:12" hidden="1" x14ac:dyDescent="0.45">
      <c r="A152" s="5"/>
      <c r="B152" s="5">
        <v>3</v>
      </c>
      <c r="C152" s="22"/>
      <c r="D152" s="17" t="s">
        <v>79</v>
      </c>
      <c r="E152" s="22"/>
      <c r="F152" s="5">
        <v>2</v>
      </c>
      <c r="G152" s="5" t="s">
        <v>43</v>
      </c>
      <c r="H152" s="5"/>
      <c r="I152" s="5" t="s">
        <v>7</v>
      </c>
      <c r="J152" s="5">
        <v>9.8000000000000007</v>
      </c>
      <c r="K152" s="5">
        <f t="shared" si="11"/>
        <v>19.600000000000001</v>
      </c>
      <c r="L152" s="5"/>
    </row>
    <row r="153" spans="1:12" hidden="1" x14ac:dyDescent="0.45">
      <c r="A153" s="13"/>
      <c r="B153" s="13">
        <v>4</v>
      </c>
      <c r="C153" s="23"/>
      <c r="D153" s="18" t="s">
        <v>79</v>
      </c>
      <c r="E153" s="23"/>
      <c r="F153" s="13">
        <v>2</v>
      </c>
      <c r="G153" s="13" t="s">
        <v>43</v>
      </c>
      <c r="H153" s="13"/>
      <c r="I153" s="13"/>
      <c r="J153" s="13">
        <v>9.5</v>
      </c>
      <c r="K153" s="13">
        <f t="shared" si="11"/>
        <v>19</v>
      </c>
      <c r="L153" s="13"/>
    </row>
    <row r="154" spans="1:12" hidden="1" x14ac:dyDescent="0.45">
      <c r="A154" s="4" t="s">
        <v>0</v>
      </c>
    </row>
    <row r="155" spans="1:12" hidden="1" x14ac:dyDescent="0.45">
      <c r="A155" s="8" t="s">
        <v>1</v>
      </c>
      <c r="B155" s="8"/>
      <c r="C155" s="21"/>
      <c r="D155" s="16"/>
      <c r="E155" s="21"/>
      <c r="F155" s="8"/>
      <c r="G155" s="8"/>
      <c r="H155" s="8"/>
      <c r="I155" s="8"/>
      <c r="J155" s="8"/>
      <c r="K155" s="8"/>
      <c r="L155" s="8"/>
    </row>
    <row r="156" spans="1:12" hidden="1" x14ac:dyDescent="0.45">
      <c r="A156" s="5" t="s">
        <v>2</v>
      </c>
      <c r="B156" s="5"/>
      <c r="C156" s="22"/>
      <c r="D156" s="17"/>
      <c r="E156" s="22"/>
      <c r="F156" s="5"/>
      <c r="G156" s="5"/>
      <c r="H156" s="5"/>
      <c r="I156" s="5"/>
      <c r="J156" s="5"/>
      <c r="K156" s="5"/>
      <c r="L156" s="5"/>
    </row>
    <row r="157" spans="1:12" hidden="1" x14ac:dyDescent="0.45">
      <c r="A157" s="13" t="s">
        <v>80</v>
      </c>
      <c r="B157" s="13"/>
      <c r="C157" s="23"/>
      <c r="D157" s="18"/>
      <c r="E157" s="23"/>
      <c r="F157" s="13"/>
      <c r="G157" s="13"/>
      <c r="H157" s="13"/>
      <c r="I157" s="13"/>
      <c r="J157" s="13"/>
      <c r="K157" s="13"/>
      <c r="L157" s="13"/>
    </row>
    <row r="158" spans="1:12" hidden="1" x14ac:dyDescent="0.45">
      <c r="B158" s="4" t="s">
        <v>4</v>
      </c>
      <c r="C158" s="12" t="s">
        <v>6</v>
      </c>
      <c r="D158" s="10" t="s">
        <v>7</v>
      </c>
      <c r="E158" s="12" t="s">
        <v>8</v>
      </c>
      <c r="F158" s="4" t="s">
        <v>9</v>
      </c>
      <c r="H158" s="4" t="s">
        <v>14</v>
      </c>
      <c r="J158" s="4" t="s">
        <v>13</v>
      </c>
    </row>
    <row r="159" spans="1:12" hidden="1" x14ac:dyDescent="0.45">
      <c r="A159" s="8"/>
      <c r="B159" s="8">
        <v>1</v>
      </c>
      <c r="C159" s="21"/>
      <c r="D159" s="16" t="s">
        <v>81</v>
      </c>
      <c r="E159" s="21"/>
      <c r="F159" s="8">
        <v>1</v>
      </c>
      <c r="G159" s="8" t="s">
        <v>33</v>
      </c>
      <c r="H159" s="8"/>
      <c r="I159" s="8"/>
      <c r="J159" s="8">
        <v>32.4</v>
      </c>
      <c r="K159" s="8">
        <f t="shared" ref="K159:K160" si="12">J159*F159</f>
        <v>32.4</v>
      </c>
      <c r="L159" s="8"/>
    </row>
    <row r="160" spans="1:12" hidden="1" x14ac:dyDescent="0.45">
      <c r="A160" s="5"/>
      <c r="B160" s="5">
        <v>2</v>
      </c>
      <c r="C160" s="22"/>
      <c r="D160" s="17" t="s">
        <v>81</v>
      </c>
      <c r="E160" s="22"/>
      <c r="F160" s="5">
        <v>1</v>
      </c>
      <c r="G160" s="5" t="s">
        <v>82</v>
      </c>
      <c r="H160" s="5"/>
      <c r="I160" s="5"/>
      <c r="J160" s="5">
        <v>29.5</v>
      </c>
      <c r="K160" s="5">
        <f t="shared" si="12"/>
        <v>29.5</v>
      </c>
      <c r="L160" s="5"/>
    </row>
    <row r="161" spans="1:12" hidden="1" x14ac:dyDescent="0.45">
      <c r="A161" s="13" t="s">
        <v>0</v>
      </c>
      <c r="B161" s="13"/>
      <c r="C161" s="23"/>
      <c r="D161" s="18"/>
      <c r="E161" s="23"/>
      <c r="F161" s="13"/>
      <c r="G161" s="13"/>
      <c r="H161" s="13"/>
      <c r="I161" s="13"/>
      <c r="J161" s="13"/>
      <c r="K161" s="13"/>
      <c r="L161" s="13"/>
    </row>
    <row r="162" spans="1:12" hidden="1" x14ac:dyDescent="0.45">
      <c r="A162" s="4" t="s">
        <v>1</v>
      </c>
    </row>
    <row r="163" spans="1:12" hidden="1" x14ac:dyDescent="0.45">
      <c r="A163" s="8" t="s">
        <v>2</v>
      </c>
      <c r="B163" s="8"/>
      <c r="C163" s="21"/>
      <c r="D163" s="16"/>
      <c r="E163" s="21"/>
      <c r="F163" s="8"/>
      <c r="G163" s="8"/>
      <c r="H163" s="8"/>
      <c r="I163" s="8"/>
      <c r="J163" s="8"/>
      <c r="K163" s="8"/>
      <c r="L163" s="8"/>
    </row>
    <row r="164" spans="1:12" hidden="1" x14ac:dyDescent="0.45">
      <c r="A164" s="5" t="s">
        <v>83</v>
      </c>
      <c r="B164" s="5"/>
      <c r="C164" s="22"/>
      <c r="D164" s="17"/>
      <c r="E164" s="22"/>
      <c r="F164" s="5"/>
      <c r="G164" s="5"/>
      <c r="H164" s="5"/>
      <c r="I164" s="5"/>
      <c r="J164" s="5"/>
      <c r="K164" s="5"/>
      <c r="L164" s="5"/>
    </row>
    <row r="165" spans="1:12" hidden="1" x14ac:dyDescent="0.45">
      <c r="A165" s="13"/>
      <c r="B165" s="13" t="s">
        <v>4</v>
      </c>
      <c r="C165" s="23" t="s">
        <v>6</v>
      </c>
      <c r="D165" s="18" t="s">
        <v>7</v>
      </c>
      <c r="E165" s="23" t="s">
        <v>8</v>
      </c>
      <c r="F165" s="13" t="s">
        <v>9</v>
      </c>
      <c r="G165" s="13"/>
      <c r="H165" s="13" t="s">
        <v>14</v>
      </c>
      <c r="I165" s="13"/>
      <c r="J165" s="13" t="s">
        <v>13</v>
      </c>
      <c r="K165" s="13"/>
      <c r="L165" s="13"/>
    </row>
    <row r="166" spans="1:12" hidden="1" x14ac:dyDescent="0.45">
      <c r="B166" s="4">
        <v>1</v>
      </c>
      <c r="D166" s="10" t="s">
        <v>84</v>
      </c>
      <c r="F166" s="4">
        <v>1</v>
      </c>
      <c r="G166" s="4" t="s">
        <v>33</v>
      </c>
      <c r="J166" s="4">
        <v>32.5</v>
      </c>
      <c r="K166" s="4">
        <f t="shared" ref="K166:K167" si="13">J166*F166</f>
        <v>32.5</v>
      </c>
    </row>
    <row r="167" spans="1:12" hidden="1" x14ac:dyDescent="0.45">
      <c r="A167" s="8"/>
      <c r="B167" s="8">
        <v>2</v>
      </c>
      <c r="C167" s="21"/>
      <c r="D167" s="16" t="s">
        <v>84</v>
      </c>
      <c r="E167" s="21"/>
      <c r="F167" s="8">
        <v>1</v>
      </c>
      <c r="G167" s="8" t="s">
        <v>82</v>
      </c>
      <c r="H167" s="8"/>
      <c r="I167" s="8"/>
      <c r="J167" s="8">
        <v>29.5</v>
      </c>
      <c r="K167" s="8">
        <f t="shared" si="13"/>
        <v>29.5</v>
      </c>
      <c r="L167" s="8"/>
    </row>
    <row r="168" spans="1:12" hidden="1" x14ac:dyDescent="0.45">
      <c r="A168" s="5" t="s">
        <v>0</v>
      </c>
      <c r="B168" s="5"/>
      <c r="C168" s="22"/>
      <c r="D168" s="17"/>
      <c r="E168" s="22"/>
      <c r="F168" s="5"/>
      <c r="G168" s="5"/>
      <c r="H168" s="5"/>
      <c r="I168" s="5"/>
      <c r="J168" s="5"/>
      <c r="K168" s="5"/>
      <c r="L168" s="5"/>
    </row>
    <row r="169" spans="1:12" hidden="1" x14ac:dyDescent="0.45">
      <c r="A169" s="13" t="s">
        <v>1</v>
      </c>
      <c r="B169" s="13"/>
      <c r="C169" s="23"/>
      <c r="D169" s="18"/>
      <c r="E169" s="23"/>
      <c r="F169" s="13"/>
      <c r="G169" s="13"/>
      <c r="H169" s="13"/>
      <c r="I169" s="13"/>
      <c r="J169" s="13"/>
      <c r="K169" s="13"/>
      <c r="L169" s="13"/>
    </row>
    <row r="170" spans="1:12" hidden="1" x14ac:dyDescent="0.45">
      <c r="A170" s="4" t="s">
        <v>2</v>
      </c>
    </row>
    <row r="171" spans="1:12" hidden="1" x14ac:dyDescent="0.45">
      <c r="A171" s="8" t="s">
        <v>85</v>
      </c>
      <c r="B171" s="8"/>
      <c r="C171" s="21"/>
      <c r="D171" s="16"/>
      <c r="E171" s="21"/>
      <c r="F171" s="8"/>
      <c r="G171" s="8"/>
      <c r="H171" s="8"/>
      <c r="I171" s="8"/>
      <c r="J171" s="8"/>
      <c r="K171" s="8"/>
      <c r="L171" s="8"/>
    </row>
    <row r="172" spans="1:12" hidden="1" x14ac:dyDescent="0.45">
      <c r="A172" s="5"/>
      <c r="B172" s="5" t="s">
        <v>4</v>
      </c>
      <c r="C172" s="22" t="s">
        <v>6</v>
      </c>
      <c r="D172" s="17" t="s">
        <v>7</v>
      </c>
      <c r="E172" s="22" t="s">
        <v>8</v>
      </c>
      <c r="F172" s="5" t="s">
        <v>9</v>
      </c>
      <c r="G172" s="5"/>
      <c r="H172" s="5" t="s">
        <v>15</v>
      </c>
      <c r="I172" s="5"/>
      <c r="J172" s="5" t="s">
        <v>14</v>
      </c>
      <c r="K172" s="5"/>
      <c r="L172" s="5"/>
    </row>
    <row r="173" spans="1:12" hidden="1" x14ac:dyDescent="0.45">
      <c r="A173" s="13"/>
      <c r="B173" s="13">
        <v>1</v>
      </c>
      <c r="C173" s="23"/>
      <c r="D173" s="18" t="s">
        <v>86</v>
      </c>
      <c r="E173" s="23"/>
      <c r="F173" s="13">
        <v>1</v>
      </c>
      <c r="G173" s="13" t="s">
        <v>476</v>
      </c>
      <c r="H173" s="13" t="s">
        <v>57</v>
      </c>
      <c r="I173" s="13" t="s">
        <v>87</v>
      </c>
      <c r="J173" s="13">
        <v>86.2</v>
      </c>
      <c r="K173" s="13">
        <f t="shared" ref="K173:K176" si="14">J173*F173</f>
        <v>86.2</v>
      </c>
      <c r="L173" s="13"/>
    </row>
    <row r="174" spans="1:12" hidden="1" x14ac:dyDescent="0.45">
      <c r="B174" s="4">
        <v>2</v>
      </c>
      <c r="D174" s="10" t="s">
        <v>86</v>
      </c>
      <c r="F174" s="4">
        <v>2</v>
      </c>
      <c r="G174" s="4" t="s">
        <v>88</v>
      </c>
      <c r="J174" s="4">
        <v>13</v>
      </c>
      <c r="K174" s="4">
        <f t="shared" si="14"/>
        <v>26</v>
      </c>
    </row>
    <row r="175" spans="1:12" hidden="1" x14ac:dyDescent="0.45">
      <c r="A175" s="8"/>
      <c r="B175" s="8">
        <v>3</v>
      </c>
      <c r="C175" s="21"/>
      <c r="D175" s="16" t="s">
        <v>86</v>
      </c>
      <c r="E175" s="21"/>
      <c r="F175" s="8">
        <v>2</v>
      </c>
      <c r="G175" s="8" t="s">
        <v>88</v>
      </c>
      <c r="H175" s="8"/>
      <c r="I175" s="8"/>
      <c r="J175" s="8">
        <v>4.5999999999999996</v>
      </c>
      <c r="K175" s="8">
        <f t="shared" si="14"/>
        <v>9.1999999999999993</v>
      </c>
      <c r="L175" s="8"/>
    </row>
    <row r="176" spans="1:12" hidden="1" x14ac:dyDescent="0.45">
      <c r="A176" s="5"/>
      <c r="B176" s="5">
        <v>4</v>
      </c>
      <c r="C176" s="22"/>
      <c r="D176" s="17" t="s">
        <v>86</v>
      </c>
      <c r="E176" s="22"/>
      <c r="F176" s="5">
        <v>2</v>
      </c>
      <c r="G176" s="5" t="s">
        <v>88</v>
      </c>
      <c r="H176" s="5"/>
      <c r="I176" s="5"/>
      <c r="J176" s="5">
        <v>0.6</v>
      </c>
      <c r="K176" s="5">
        <f t="shared" si="14"/>
        <v>1.2</v>
      </c>
      <c r="L176" s="5"/>
    </row>
    <row r="177" spans="1:12" hidden="1" x14ac:dyDescent="0.45">
      <c r="A177" s="13" t="s">
        <v>89</v>
      </c>
      <c r="B177" s="13"/>
      <c r="C177" s="23"/>
      <c r="D177" s="18"/>
      <c r="E177" s="23"/>
      <c r="F177" s="13"/>
      <c r="G177" s="13"/>
      <c r="H177" s="13"/>
      <c r="I177" s="13"/>
      <c r="J177" s="13"/>
      <c r="K177" s="13"/>
      <c r="L177" s="13"/>
    </row>
    <row r="178" spans="1:12" hidden="1" x14ac:dyDescent="0.45">
      <c r="A178" s="4" t="s">
        <v>89</v>
      </c>
    </row>
    <row r="179" spans="1:12" hidden="1" x14ac:dyDescent="0.45">
      <c r="A179" s="8" t="s">
        <v>0</v>
      </c>
      <c r="B179" s="8"/>
      <c r="C179" s="21"/>
      <c r="D179" s="16"/>
      <c r="E179" s="21"/>
      <c r="F179" s="8"/>
      <c r="G179" s="8"/>
      <c r="H179" s="8"/>
      <c r="I179" s="8"/>
      <c r="J179" s="8"/>
      <c r="K179" s="8"/>
      <c r="L179" s="8"/>
    </row>
    <row r="180" spans="1:12" hidden="1" x14ac:dyDescent="0.45">
      <c r="A180" s="5" t="s">
        <v>1</v>
      </c>
      <c r="B180" s="5"/>
      <c r="C180" s="22"/>
      <c r="D180" s="17"/>
      <c r="E180" s="22"/>
      <c r="F180" s="5"/>
      <c r="G180" s="5"/>
      <c r="H180" s="5"/>
      <c r="I180" s="5"/>
      <c r="J180" s="5"/>
      <c r="K180" s="5"/>
      <c r="L180" s="5"/>
    </row>
    <row r="181" spans="1:12" hidden="1" x14ac:dyDescent="0.45">
      <c r="A181" s="13" t="s">
        <v>90</v>
      </c>
      <c r="B181" s="13"/>
      <c r="C181" s="23"/>
      <c r="D181" s="18"/>
      <c r="E181" s="23"/>
      <c r="F181" s="13"/>
      <c r="G181" s="13"/>
      <c r="H181" s="13"/>
      <c r="I181" s="13"/>
      <c r="J181" s="13"/>
      <c r="K181" s="13"/>
      <c r="L181" s="13"/>
    </row>
    <row r="182" spans="1:12" hidden="1" x14ac:dyDescent="0.45">
      <c r="A182" s="4" t="s">
        <v>91</v>
      </c>
    </row>
    <row r="183" spans="1:12" hidden="1" x14ac:dyDescent="0.45">
      <c r="A183" s="8"/>
      <c r="B183" s="8" t="s">
        <v>4</v>
      </c>
      <c r="C183" s="21" t="s">
        <v>6</v>
      </c>
      <c r="D183" s="16" t="s">
        <v>7</v>
      </c>
      <c r="E183" s="21" t="s">
        <v>8</v>
      </c>
      <c r="F183" s="8" t="s">
        <v>9</v>
      </c>
      <c r="G183" s="8"/>
      <c r="H183" s="8" t="s">
        <v>14</v>
      </c>
      <c r="I183" s="8"/>
      <c r="J183" s="8" t="s">
        <v>13</v>
      </c>
      <c r="K183" s="8"/>
      <c r="L183" s="8"/>
    </row>
    <row r="184" spans="1:12" hidden="1" x14ac:dyDescent="0.45">
      <c r="A184" s="5"/>
      <c r="B184" s="5">
        <v>1</v>
      </c>
      <c r="C184" s="22"/>
      <c r="D184" s="17" t="s">
        <v>92</v>
      </c>
      <c r="E184" s="22"/>
      <c r="F184" s="5">
        <v>1</v>
      </c>
      <c r="G184" s="5" t="s">
        <v>93</v>
      </c>
      <c r="H184" s="5"/>
      <c r="I184" s="5" t="s">
        <v>20</v>
      </c>
      <c r="J184" s="5"/>
      <c r="K184" s="5"/>
      <c r="L184" s="5"/>
    </row>
    <row r="185" spans="1:12" hidden="1" x14ac:dyDescent="0.45">
      <c r="A185" s="13"/>
      <c r="B185" s="13">
        <v>2</v>
      </c>
      <c r="C185" s="23"/>
      <c r="D185" s="18" t="s">
        <v>92</v>
      </c>
      <c r="E185" s="23"/>
      <c r="F185" s="13">
        <v>16</v>
      </c>
      <c r="G185" s="13"/>
      <c r="H185" s="13" t="s">
        <v>20</v>
      </c>
      <c r="I185" s="13"/>
      <c r="J185" s="13">
        <v>3.7</v>
      </c>
      <c r="K185" s="13"/>
      <c r="L185" s="13"/>
    </row>
    <row r="186" spans="1:12" hidden="1" x14ac:dyDescent="0.45">
      <c r="B186" s="4">
        <v>3</v>
      </c>
      <c r="D186" s="10" t="s">
        <v>92</v>
      </c>
      <c r="F186" s="4">
        <v>2</v>
      </c>
      <c r="G186" s="4" t="s">
        <v>31</v>
      </c>
    </row>
    <row r="187" spans="1:12" hidden="1" x14ac:dyDescent="0.45">
      <c r="A187" s="8"/>
      <c r="B187" s="8">
        <v>4</v>
      </c>
      <c r="C187" s="21"/>
      <c r="D187" s="16" t="s">
        <v>92</v>
      </c>
      <c r="E187" s="21"/>
      <c r="F187" s="8">
        <v>2</v>
      </c>
      <c r="G187" s="8" t="s">
        <v>94</v>
      </c>
      <c r="H187" s="8"/>
      <c r="I187" s="8">
        <v>3251</v>
      </c>
      <c r="J187" s="8">
        <v>57.4</v>
      </c>
      <c r="K187" s="8">
        <f t="shared" ref="K187:K191" si="15">J187*F187</f>
        <v>114.8</v>
      </c>
      <c r="L187" s="8"/>
    </row>
    <row r="188" spans="1:12" hidden="1" x14ac:dyDescent="0.45">
      <c r="A188" s="5"/>
      <c r="B188" s="5">
        <v>5</v>
      </c>
      <c r="C188" s="22"/>
      <c r="D188" s="17" t="s">
        <v>92</v>
      </c>
      <c r="E188" s="22"/>
      <c r="F188" s="5">
        <v>1</v>
      </c>
      <c r="G188" s="5" t="s">
        <v>478</v>
      </c>
      <c r="H188" s="5"/>
      <c r="I188" s="5" t="s">
        <v>95</v>
      </c>
      <c r="J188" s="5">
        <v>46</v>
      </c>
      <c r="K188" s="5">
        <f t="shared" si="15"/>
        <v>46</v>
      </c>
      <c r="L188" s="5"/>
    </row>
    <row r="189" spans="1:12" hidden="1" x14ac:dyDescent="0.45">
      <c r="A189" s="13"/>
      <c r="B189" s="13">
        <v>6</v>
      </c>
      <c r="C189" s="23"/>
      <c r="D189" s="18" t="s">
        <v>92</v>
      </c>
      <c r="E189" s="23"/>
      <c r="F189" s="13">
        <v>1</v>
      </c>
      <c r="G189" s="13" t="s">
        <v>478</v>
      </c>
      <c r="H189" s="13"/>
      <c r="I189" s="13" t="s">
        <v>96</v>
      </c>
      <c r="J189" s="13">
        <v>37.1</v>
      </c>
      <c r="K189" s="13">
        <f t="shared" si="15"/>
        <v>37.1</v>
      </c>
      <c r="L189" s="13"/>
    </row>
    <row r="190" spans="1:12" hidden="1" x14ac:dyDescent="0.45">
      <c r="B190" s="4">
        <v>7</v>
      </c>
      <c r="D190" s="10" t="s">
        <v>92</v>
      </c>
      <c r="F190" s="4">
        <v>2</v>
      </c>
      <c r="G190" s="4" t="s">
        <v>33</v>
      </c>
      <c r="I190" s="4" t="s">
        <v>97</v>
      </c>
      <c r="J190" s="4">
        <v>63</v>
      </c>
      <c r="K190" s="4">
        <f t="shared" si="15"/>
        <v>126</v>
      </c>
    </row>
    <row r="191" spans="1:12" hidden="1" x14ac:dyDescent="0.45">
      <c r="A191" s="8"/>
      <c r="B191" s="8">
        <v>8</v>
      </c>
      <c r="C191" s="21"/>
      <c r="D191" s="16" t="s">
        <v>92</v>
      </c>
      <c r="E191" s="21"/>
      <c r="F191" s="8">
        <v>2</v>
      </c>
      <c r="G191" s="8" t="s">
        <v>33</v>
      </c>
      <c r="H191" s="8"/>
      <c r="I191" s="8" t="s">
        <v>97</v>
      </c>
      <c r="J191" s="8">
        <v>62.8</v>
      </c>
      <c r="K191" s="8">
        <f t="shared" si="15"/>
        <v>125.6</v>
      </c>
      <c r="L191" s="8"/>
    </row>
    <row r="192" spans="1:12" hidden="1" x14ac:dyDescent="0.45">
      <c r="A192" s="5"/>
      <c r="B192" s="5">
        <v>9</v>
      </c>
      <c r="C192" s="22"/>
      <c r="D192" s="17" t="s">
        <v>92</v>
      </c>
      <c r="E192" s="22"/>
      <c r="F192" s="5">
        <v>1</v>
      </c>
      <c r="G192" s="5" t="s">
        <v>29</v>
      </c>
      <c r="H192" s="5" t="s">
        <v>20</v>
      </c>
      <c r="I192" s="5"/>
      <c r="J192" s="5"/>
      <c r="K192" s="5"/>
      <c r="L192" s="5"/>
    </row>
    <row r="193" spans="1:12" hidden="1" x14ac:dyDescent="0.45">
      <c r="A193" s="13"/>
      <c r="B193" s="13">
        <v>10</v>
      </c>
      <c r="C193" s="23">
        <v>2</v>
      </c>
      <c r="D193" s="18" t="s">
        <v>98</v>
      </c>
      <c r="E193" s="23"/>
      <c r="F193" s="13"/>
      <c r="G193" s="13"/>
      <c r="H193" s="13"/>
      <c r="I193" s="13"/>
      <c r="J193" s="13"/>
      <c r="K193" s="13"/>
      <c r="L193" s="13"/>
    </row>
    <row r="194" spans="1:12" hidden="1" x14ac:dyDescent="0.45">
      <c r="A194" s="4" t="s">
        <v>0</v>
      </c>
    </row>
    <row r="195" spans="1:12" hidden="1" x14ac:dyDescent="0.45">
      <c r="A195" s="8" t="s">
        <v>1</v>
      </c>
      <c r="B195" s="8"/>
      <c r="C195" s="21"/>
      <c r="D195" s="16"/>
      <c r="E195" s="21"/>
      <c r="F195" s="8"/>
      <c r="G195" s="8"/>
      <c r="H195" s="8"/>
      <c r="I195" s="8"/>
      <c r="J195" s="8"/>
      <c r="K195" s="8"/>
      <c r="L195" s="8"/>
    </row>
    <row r="196" spans="1:12" hidden="1" x14ac:dyDescent="0.45">
      <c r="A196" s="5" t="s">
        <v>90</v>
      </c>
      <c r="B196" s="5"/>
      <c r="C196" s="22"/>
      <c r="D196" s="17"/>
      <c r="E196" s="22"/>
      <c r="F196" s="5"/>
      <c r="G196" s="5"/>
      <c r="H196" s="5"/>
      <c r="I196" s="5"/>
      <c r="J196" s="5"/>
      <c r="K196" s="5"/>
      <c r="L196" s="5"/>
    </row>
    <row r="197" spans="1:12" hidden="1" x14ac:dyDescent="0.45">
      <c r="A197" s="13" t="s">
        <v>99</v>
      </c>
      <c r="B197" s="13"/>
      <c r="C197" s="23"/>
      <c r="D197" s="18"/>
      <c r="E197" s="23"/>
      <c r="F197" s="13"/>
      <c r="G197" s="13"/>
      <c r="H197" s="13"/>
      <c r="I197" s="13"/>
      <c r="J197" s="13"/>
      <c r="K197" s="13"/>
      <c r="L197" s="13"/>
    </row>
    <row r="198" spans="1:12" hidden="1" x14ac:dyDescent="0.45">
      <c r="B198" s="4" t="s">
        <v>4</v>
      </c>
      <c r="C198" s="12" t="s">
        <v>5</v>
      </c>
      <c r="D198" s="10" t="s">
        <v>7</v>
      </c>
      <c r="E198" s="12" t="s">
        <v>8</v>
      </c>
      <c r="F198" s="4" t="s">
        <v>9</v>
      </c>
      <c r="H198" s="4" t="s">
        <v>13</v>
      </c>
      <c r="J198" s="4" t="s">
        <v>12</v>
      </c>
    </row>
    <row r="199" spans="1:12" hidden="1" x14ac:dyDescent="0.45">
      <c r="A199" s="8"/>
      <c r="B199" s="8">
        <v>1</v>
      </c>
      <c r="C199" s="21"/>
      <c r="D199" s="16" t="s">
        <v>100</v>
      </c>
      <c r="E199" s="21"/>
      <c r="F199" s="8">
        <v>2</v>
      </c>
      <c r="G199" s="8" t="s">
        <v>476</v>
      </c>
      <c r="H199" s="8"/>
      <c r="I199" s="8" t="s">
        <v>101</v>
      </c>
      <c r="J199" s="8">
        <v>308.5</v>
      </c>
      <c r="K199" s="8">
        <f t="shared" ref="K199:K200" si="16">J199*F199</f>
        <v>617</v>
      </c>
      <c r="L199" s="8"/>
    </row>
    <row r="200" spans="1:12" hidden="1" x14ac:dyDescent="0.45">
      <c r="A200" s="5"/>
      <c r="B200" s="5">
        <v>2</v>
      </c>
      <c r="C200" s="22"/>
      <c r="D200" s="17" t="s">
        <v>100</v>
      </c>
      <c r="E200" s="22"/>
      <c r="F200" s="5">
        <v>1</v>
      </c>
      <c r="G200" s="5" t="s">
        <v>476</v>
      </c>
      <c r="H200" s="5"/>
      <c r="I200" s="5" t="s">
        <v>102</v>
      </c>
      <c r="J200" s="5">
        <v>256.89999999999998</v>
      </c>
      <c r="K200" s="5">
        <f t="shared" si="16"/>
        <v>256.89999999999998</v>
      </c>
      <c r="L200" s="5"/>
    </row>
    <row r="201" spans="1:12" hidden="1" x14ac:dyDescent="0.45">
      <c r="A201" s="13"/>
      <c r="B201" s="13">
        <v>3</v>
      </c>
      <c r="C201" s="23"/>
      <c r="D201" s="18" t="s">
        <v>100</v>
      </c>
      <c r="E201" s="23"/>
      <c r="F201" s="13">
        <v>16</v>
      </c>
      <c r="G201" s="13"/>
      <c r="H201" s="13"/>
      <c r="I201" s="13"/>
      <c r="J201" s="13">
        <v>1.8</v>
      </c>
      <c r="K201" s="13"/>
      <c r="L201" s="13"/>
    </row>
    <row r="202" spans="1:12" hidden="1" x14ac:dyDescent="0.45">
      <c r="B202" s="4">
        <v>4</v>
      </c>
      <c r="D202" s="10" t="s">
        <v>100</v>
      </c>
      <c r="F202" s="4">
        <v>4</v>
      </c>
      <c r="G202" s="4" t="s">
        <v>50</v>
      </c>
    </row>
    <row r="203" spans="1:12" hidden="1" x14ac:dyDescent="0.45">
      <c r="A203" s="8"/>
      <c r="B203" s="8">
        <v>5</v>
      </c>
      <c r="C203" s="21"/>
      <c r="D203" s="16" t="s">
        <v>100</v>
      </c>
      <c r="E203" s="21"/>
      <c r="F203" s="8">
        <v>4</v>
      </c>
      <c r="G203" s="8" t="s">
        <v>51</v>
      </c>
      <c r="H203" s="8"/>
      <c r="I203" s="8"/>
      <c r="J203" s="8"/>
      <c r="K203" s="8"/>
      <c r="L203" s="8"/>
    </row>
    <row r="204" spans="1:12" hidden="1" x14ac:dyDescent="0.45">
      <c r="A204" s="5"/>
      <c r="B204" s="5">
        <v>6</v>
      </c>
      <c r="C204" s="22"/>
      <c r="D204" s="17" t="s">
        <v>100</v>
      </c>
      <c r="E204" s="22"/>
      <c r="F204" s="5">
        <v>1</v>
      </c>
      <c r="G204" s="5" t="s">
        <v>476</v>
      </c>
      <c r="H204" s="5"/>
      <c r="I204" s="5" t="s">
        <v>103</v>
      </c>
      <c r="J204" s="5">
        <v>403.4</v>
      </c>
      <c r="K204" s="5">
        <f t="shared" ref="K204:K205" si="17">J204*F204</f>
        <v>403.4</v>
      </c>
      <c r="L204" s="5"/>
    </row>
    <row r="205" spans="1:12" x14ac:dyDescent="0.45">
      <c r="A205" s="13"/>
      <c r="B205" s="13">
        <v>7</v>
      </c>
      <c r="C205" s="23"/>
      <c r="D205" s="18" t="s">
        <v>100</v>
      </c>
      <c r="E205" s="23"/>
      <c r="F205" s="13">
        <v>4</v>
      </c>
      <c r="G205" s="13" t="s">
        <v>53</v>
      </c>
      <c r="H205" s="13"/>
      <c r="I205" s="13">
        <v>3251</v>
      </c>
      <c r="J205" s="13">
        <v>29.2</v>
      </c>
      <c r="K205" s="13">
        <f t="shared" si="17"/>
        <v>116.8</v>
      </c>
      <c r="L205" s="13"/>
    </row>
    <row r="206" spans="1:12" hidden="1" x14ac:dyDescent="0.45">
      <c r="A206" s="4" t="s">
        <v>0</v>
      </c>
    </row>
    <row r="207" spans="1:12" hidden="1" x14ac:dyDescent="0.45">
      <c r="A207" s="8" t="s">
        <v>1</v>
      </c>
      <c r="B207" s="8"/>
      <c r="C207" s="21"/>
      <c r="D207" s="16"/>
      <c r="E207" s="21"/>
      <c r="F207" s="8"/>
      <c r="G207" s="8"/>
      <c r="H207" s="8"/>
      <c r="I207" s="8"/>
      <c r="J207" s="8"/>
      <c r="K207" s="8"/>
      <c r="L207" s="8"/>
    </row>
    <row r="208" spans="1:12" hidden="1" x14ac:dyDescent="0.45">
      <c r="A208" s="5" t="s">
        <v>90</v>
      </c>
      <c r="B208" s="5"/>
      <c r="C208" s="22"/>
      <c r="D208" s="17"/>
      <c r="E208" s="22"/>
      <c r="F208" s="5"/>
      <c r="G208" s="5"/>
      <c r="H208" s="5"/>
      <c r="I208" s="5"/>
      <c r="J208" s="5"/>
      <c r="K208" s="5"/>
      <c r="L208" s="5"/>
    </row>
    <row r="209" spans="1:12" hidden="1" x14ac:dyDescent="0.45">
      <c r="A209" s="13" t="s">
        <v>104</v>
      </c>
      <c r="B209" s="13"/>
      <c r="C209" s="23"/>
      <c r="D209" s="18"/>
      <c r="E209" s="23"/>
      <c r="F209" s="13"/>
      <c r="G209" s="13"/>
      <c r="H209" s="13"/>
      <c r="I209" s="13"/>
      <c r="J209" s="13"/>
      <c r="K209" s="13"/>
      <c r="L209" s="13"/>
    </row>
    <row r="210" spans="1:12" hidden="1" x14ac:dyDescent="0.45">
      <c r="B210" s="4" t="s">
        <v>4</v>
      </c>
      <c r="C210" s="12" t="s">
        <v>5</v>
      </c>
      <c r="D210" s="10" t="s">
        <v>7</v>
      </c>
      <c r="E210" s="12" t="s">
        <v>8</v>
      </c>
      <c r="F210" s="4" t="s">
        <v>9</v>
      </c>
    </row>
    <row r="211" spans="1:12" hidden="1" x14ac:dyDescent="0.45">
      <c r="A211" s="8"/>
      <c r="B211" s="8">
        <v>1</v>
      </c>
      <c r="C211" s="21"/>
      <c r="D211" s="16" t="s">
        <v>105</v>
      </c>
      <c r="E211" s="21"/>
      <c r="F211" s="8">
        <v>8</v>
      </c>
      <c r="G211" s="8" t="s">
        <v>477</v>
      </c>
      <c r="H211" s="8"/>
      <c r="I211" s="8" t="s">
        <v>73</v>
      </c>
      <c r="J211" s="8">
        <v>0.8</v>
      </c>
      <c r="K211" s="8">
        <f t="shared" ref="K211:K215" si="18">J211*F211</f>
        <v>6.4</v>
      </c>
      <c r="L211" s="8"/>
    </row>
    <row r="212" spans="1:12" hidden="1" x14ac:dyDescent="0.45">
      <c r="A212" s="5"/>
      <c r="B212" s="5">
        <v>2</v>
      </c>
      <c r="C212" s="22"/>
      <c r="D212" s="17" t="s">
        <v>105</v>
      </c>
      <c r="E212" s="22"/>
      <c r="F212" s="5">
        <v>1</v>
      </c>
      <c r="G212" s="5" t="s">
        <v>70</v>
      </c>
      <c r="H212" s="5"/>
      <c r="I212" s="5">
        <v>2808</v>
      </c>
      <c r="J212" s="5">
        <v>48.7</v>
      </c>
      <c r="K212" s="5">
        <f t="shared" si="18"/>
        <v>48.7</v>
      </c>
      <c r="L212" s="5"/>
    </row>
    <row r="213" spans="1:12" hidden="1" x14ac:dyDescent="0.45">
      <c r="A213" s="13"/>
      <c r="B213" s="13">
        <v>3</v>
      </c>
      <c r="C213" s="23"/>
      <c r="D213" s="18" t="s">
        <v>105</v>
      </c>
      <c r="E213" s="23"/>
      <c r="F213" s="13">
        <v>1</v>
      </c>
      <c r="G213" s="13" t="s">
        <v>70</v>
      </c>
      <c r="H213" s="13"/>
      <c r="I213" s="13">
        <v>2496</v>
      </c>
      <c r="J213" s="13">
        <v>44.3</v>
      </c>
      <c r="K213" s="13">
        <f t="shared" si="18"/>
        <v>44.3</v>
      </c>
      <c r="L213" s="13"/>
    </row>
    <row r="214" spans="1:12" hidden="1" x14ac:dyDescent="0.45">
      <c r="B214" s="4">
        <v>4</v>
      </c>
      <c r="D214" s="10" t="s">
        <v>105</v>
      </c>
      <c r="F214" s="4">
        <v>1</v>
      </c>
      <c r="G214" s="4" t="s">
        <v>70</v>
      </c>
      <c r="I214" s="4">
        <v>2502</v>
      </c>
      <c r="J214" s="4">
        <v>45.9</v>
      </c>
      <c r="K214" s="4">
        <f t="shared" si="18"/>
        <v>45.9</v>
      </c>
    </row>
    <row r="215" spans="1:12" hidden="1" x14ac:dyDescent="0.45">
      <c r="A215" s="8"/>
      <c r="B215" s="8">
        <v>5</v>
      </c>
      <c r="C215" s="21"/>
      <c r="D215" s="16" t="s">
        <v>105</v>
      </c>
      <c r="E215" s="21"/>
      <c r="F215" s="8">
        <v>1</v>
      </c>
      <c r="G215" s="8" t="s">
        <v>70</v>
      </c>
      <c r="H215" s="8"/>
      <c r="I215" s="8">
        <v>2496</v>
      </c>
      <c r="J215" s="8">
        <v>44.3</v>
      </c>
      <c r="K215" s="8">
        <f t="shared" si="18"/>
        <v>44.3</v>
      </c>
      <c r="L215" s="8"/>
    </row>
    <row r="216" spans="1:12" hidden="1" x14ac:dyDescent="0.45">
      <c r="A216" s="5" t="s">
        <v>0</v>
      </c>
      <c r="B216" s="5"/>
      <c r="C216" s="22"/>
      <c r="D216" s="17"/>
      <c r="E216" s="22"/>
      <c r="F216" s="5"/>
      <c r="G216" s="5"/>
      <c r="H216" s="5"/>
      <c r="I216" s="5"/>
      <c r="J216" s="5"/>
      <c r="K216" s="5"/>
      <c r="L216" s="5"/>
    </row>
    <row r="217" spans="1:12" hidden="1" x14ac:dyDescent="0.45">
      <c r="A217" s="13" t="s">
        <v>1</v>
      </c>
      <c r="B217" s="13"/>
      <c r="C217" s="23"/>
      <c r="D217" s="18"/>
      <c r="E217" s="23"/>
      <c r="F217" s="13"/>
      <c r="G217" s="13"/>
      <c r="H217" s="13"/>
      <c r="I217" s="13"/>
      <c r="J217" s="13"/>
      <c r="K217" s="13"/>
      <c r="L217" s="13"/>
    </row>
    <row r="218" spans="1:12" hidden="1" x14ac:dyDescent="0.45">
      <c r="A218" s="4" t="s">
        <v>90</v>
      </c>
    </row>
    <row r="219" spans="1:12" hidden="1" x14ac:dyDescent="0.45">
      <c r="A219" s="8" t="s">
        <v>106</v>
      </c>
      <c r="B219" s="8"/>
      <c r="C219" s="21"/>
      <c r="D219" s="16"/>
      <c r="E219" s="21"/>
      <c r="F219" s="8"/>
      <c r="G219" s="8"/>
      <c r="H219" s="8"/>
      <c r="I219" s="8"/>
      <c r="J219" s="8"/>
      <c r="K219" s="8"/>
      <c r="L219" s="8"/>
    </row>
    <row r="220" spans="1:12" hidden="1" x14ac:dyDescent="0.45">
      <c r="A220" s="5"/>
      <c r="B220" s="5" t="s">
        <v>4</v>
      </c>
      <c r="C220" s="22" t="s">
        <v>5</v>
      </c>
      <c r="D220" s="17" t="s">
        <v>7</v>
      </c>
      <c r="E220" s="22" t="s">
        <v>8</v>
      </c>
      <c r="F220" s="5" t="s">
        <v>9</v>
      </c>
      <c r="G220" s="5"/>
      <c r="H220" s="5" t="s">
        <v>14</v>
      </c>
      <c r="I220" s="5"/>
      <c r="J220" s="5"/>
      <c r="K220" s="5"/>
      <c r="L220" s="5"/>
    </row>
    <row r="221" spans="1:12" hidden="1" x14ac:dyDescent="0.45">
      <c r="A221" s="13"/>
      <c r="B221" s="13">
        <v>1</v>
      </c>
      <c r="C221" s="23"/>
      <c r="D221" s="18" t="s">
        <v>107</v>
      </c>
      <c r="E221" s="23"/>
      <c r="F221" s="13">
        <v>4</v>
      </c>
      <c r="G221" s="13" t="s">
        <v>477</v>
      </c>
      <c r="H221" s="13" t="s">
        <v>38</v>
      </c>
      <c r="I221" s="13" t="s">
        <v>73</v>
      </c>
      <c r="J221" s="13">
        <v>1</v>
      </c>
      <c r="K221" s="13">
        <f t="shared" ref="K221:K225" si="19">J221*F221</f>
        <v>4</v>
      </c>
      <c r="L221" s="13"/>
    </row>
    <row r="222" spans="1:12" hidden="1" x14ac:dyDescent="0.45">
      <c r="B222" s="4">
        <v>2</v>
      </c>
      <c r="D222" s="10" t="s">
        <v>107</v>
      </c>
      <c r="F222" s="4">
        <v>1</v>
      </c>
      <c r="G222" s="4" t="s">
        <v>33</v>
      </c>
      <c r="I222" s="4">
        <v>2807</v>
      </c>
      <c r="J222" s="4">
        <v>31.4</v>
      </c>
      <c r="K222" s="4">
        <f t="shared" si="19"/>
        <v>31.4</v>
      </c>
    </row>
    <row r="223" spans="1:12" hidden="1" x14ac:dyDescent="0.45">
      <c r="A223" s="8"/>
      <c r="B223" s="8">
        <v>3</v>
      </c>
      <c r="C223" s="21"/>
      <c r="D223" s="16" t="s">
        <v>107</v>
      </c>
      <c r="E223" s="21"/>
      <c r="F223" s="8">
        <v>1</v>
      </c>
      <c r="G223" s="8" t="s">
        <v>33</v>
      </c>
      <c r="H223" s="8"/>
      <c r="I223" s="8">
        <v>2502</v>
      </c>
      <c r="J223" s="8">
        <v>29.6</v>
      </c>
      <c r="K223" s="8">
        <f t="shared" si="19"/>
        <v>29.6</v>
      </c>
      <c r="L223" s="8"/>
    </row>
    <row r="224" spans="1:12" hidden="1" x14ac:dyDescent="0.45">
      <c r="A224" s="5"/>
      <c r="B224" s="5">
        <v>4</v>
      </c>
      <c r="C224" s="22"/>
      <c r="D224" s="17" t="s">
        <v>107</v>
      </c>
      <c r="E224" s="22"/>
      <c r="F224" s="5">
        <v>1</v>
      </c>
      <c r="G224" s="5" t="s">
        <v>33</v>
      </c>
      <c r="H224" s="5"/>
      <c r="I224" s="5">
        <v>2495</v>
      </c>
      <c r="J224" s="5">
        <v>28.6</v>
      </c>
      <c r="K224" s="5">
        <f t="shared" si="19"/>
        <v>28.6</v>
      </c>
      <c r="L224" s="5"/>
    </row>
    <row r="225" spans="1:12" hidden="1" x14ac:dyDescent="0.45">
      <c r="A225" s="13"/>
      <c r="B225" s="13">
        <v>5</v>
      </c>
      <c r="C225" s="23"/>
      <c r="D225" s="18" t="s">
        <v>107</v>
      </c>
      <c r="E225" s="23"/>
      <c r="F225" s="13">
        <v>1</v>
      </c>
      <c r="G225" s="13" t="s">
        <v>33</v>
      </c>
      <c r="H225" s="13"/>
      <c r="I225" s="13">
        <v>2495</v>
      </c>
      <c r="J225" s="13">
        <v>28.5</v>
      </c>
      <c r="K225" s="13">
        <f t="shared" si="19"/>
        <v>28.5</v>
      </c>
      <c r="L225" s="13"/>
    </row>
    <row r="226" spans="1:12" hidden="1" x14ac:dyDescent="0.45">
      <c r="A226" s="4" t="s">
        <v>0</v>
      </c>
    </row>
    <row r="227" spans="1:12" hidden="1" x14ac:dyDescent="0.45">
      <c r="A227" s="8" t="s">
        <v>1</v>
      </c>
      <c r="B227" s="8"/>
      <c r="C227" s="21"/>
      <c r="D227" s="16"/>
      <c r="E227" s="21"/>
      <c r="F227" s="8"/>
      <c r="G227" s="8"/>
      <c r="H227" s="8"/>
      <c r="I227" s="8"/>
      <c r="J227" s="8"/>
      <c r="K227" s="8"/>
      <c r="L227" s="8"/>
    </row>
    <row r="228" spans="1:12" hidden="1" x14ac:dyDescent="0.45">
      <c r="A228" s="5" t="s">
        <v>90</v>
      </c>
      <c r="B228" s="5"/>
      <c r="C228" s="22"/>
      <c r="D228" s="17"/>
      <c r="E228" s="22"/>
      <c r="F228" s="5"/>
      <c r="G228" s="5"/>
      <c r="H228" s="5"/>
      <c r="I228" s="5"/>
      <c r="J228" s="5"/>
      <c r="K228" s="5"/>
      <c r="L228" s="5"/>
    </row>
    <row r="229" spans="1:12" hidden="1" x14ac:dyDescent="0.45">
      <c r="A229" s="13" t="s">
        <v>108</v>
      </c>
      <c r="B229" s="13"/>
      <c r="C229" s="23"/>
      <c r="D229" s="18"/>
      <c r="E229" s="23"/>
      <c r="F229" s="13"/>
      <c r="G229" s="13"/>
      <c r="H229" s="13"/>
      <c r="I229" s="13"/>
      <c r="J229" s="13"/>
      <c r="K229" s="13"/>
      <c r="L229" s="13"/>
    </row>
    <row r="230" spans="1:12" hidden="1" x14ac:dyDescent="0.45">
      <c r="B230" s="4" t="s">
        <v>4</v>
      </c>
      <c r="C230" s="12" t="s">
        <v>5</v>
      </c>
      <c r="D230" s="10" t="s">
        <v>7</v>
      </c>
      <c r="E230" s="12" t="s">
        <v>8</v>
      </c>
      <c r="F230" s="4" t="s">
        <v>9</v>
      </c>
    </row>
    <row r="231" spans="1:12" hidden="1" x14ac:dyDescent="0.45">
      <c r="A231" s="8"/>
      <c r="B231" s="8">
        <v>1</v>
      </c>
      <c r="C231" s="21"/>
      <c r="D231" s="16" t="s">
        <v>109</v>
      </c>
      <c r="E231" s="21"/>
      <c r="F231" s="8">
        <v>1</v>
      </c>
      <c r="G231" s="8" t="s">
        <v>70</v>
      </c>
      <c r="H231" s="8"/>
      <c r="I231" s="8">
        <v>440</v>
      </c>
      <c r="J231" s="8">
        <v>5.3</v>
      </c>
      <c r="K231" s="8">
        <f t="shared" ref="K231:K233" si="20">J231*F231</f>
        <v>5.3</v>
      </c>
      <c r="L231" s="8"/>
    </row>
    <row r="232" spans="1:12" hidden="1" x14ac:dyDescent="0.45">
      <c r="A232" s="5"/>
      <c r="B232" s="5">
        <v>2</v>
      </c>
      <c r="C232" s="22"/>
      <c r="D232" s="17" t="s">
        <v>109</v>
      </c>
      <c r="E232" s="22"/>
      <c r="F232" s="5">
        <v>1</v>
      </c>
      <c r="G232" s="5" t="s">
        <v>70</v>
      </c>
      <c r="H232" s="5"/>
      <c r="I232" s="5">
        <v>485</v>
      </c>
      <c r="J232" s="5">
        <v>8.9</v>
      </c>
      <c r="K232" s="5">
        <f t="shared" si="20"/>
        <v>8.9</v>
      </c>
      <c r="L232" s="5"/>
    </row>
    <row r="233" spans="1:12" hidden="1" x14ac:dyDescent="0.45">
      <c r="A233" s="13"/>
      <c r="B233" s="13">
        <v>3</v>
      </c>
      <c r="C233" s="23"/>
      <c r="D233" s="18" t="s">
        <v>109</v>
      </c>
      <c r="E233" s="23"/>
      <c r="F233" s="13">
        <v>1</v>
      </c>
      <c r="G233" s="13" t="s">
        <v>479</v>
      </c>
      <c r="H233" s="13"/>
      <c r="I233" s="13" t="s">
        <v>110</v>
      </c>
      <c r="J233" s="13">
        <v>4.5999999999999996</v>
      </c>
      <c r="K233" s="13">
        <f t="shared" si="20"/>
        <v>4.5999999999999996</v>
      </c>
      <c r="L233" s="13"/>
    </row>
    <row r="234" spans="1:12" hidden="1" x14ac:dyDescent="0.45">
      <c r="A234" s="4" t="s">
        <v>111</v>
      </c>
    </row>
    <row r="235" spans="1:12" hidden="1" x14ac:dyDescent="0.45">
      <c r="A235" s="8" t="s">
        <v>111</v>
      </c>
      <c r="B235" s="8"/>
      <c r="C235" s="21"/>
      <c r="D235" s="16"/>
      <c r="E235" s="21"/>
      <c r="F235" s="8"/>
      <c r="G235" s="8"/>
      <c r="H235" s="8"/>
      <c r="I235" s="8"/>
      <c r="J235" s="8"/>
      <c r="K235" s="8"/>
      <c r="L235" s="8"/>
    </row>
    <row r="236" spans="1:12" hidden="1" x14ac:dyDescent="0.45">
      <c r="A236" s="5" t="s">
        <v>111</v>
      </c>
      <c r="B236" s="5"/>
      <c r="C236" s="22"/>
      <c r="D236" s="17"/>
      <c r="E236" s="22"/>
      <c r="F236" s="5"/>
      <c r="G236" s="5"/>
      <c r="H236" s="5"/>
      <c r="I236" s="5"/>
      <c r="J236" s="5"/>
      <c r="K236" s="5"/>
      <c r="L236" s="5"/>
    </row>
    <row r="237" spans="1:12" hidden="1" x14ac:dyDescent="0.45">
      <c r="A237" s="13" t="s">
        <v>0</v>
      </c>
      <c r="B237" s="13"/>
      <c r="C237" s="23"/>
      <c r="D237" s="18"/>
      <c r="E237" s="23"/>
      <c r="F237" s="13"/>
      <c r="G237" s="13"/>
      <c r="H237" s="13"/>
      <c r="I237" s="13"/>
      <c r="J237" s="13"/>
      <c r="K237" s="13"/>
      <c r="L237" s="13"/>
    </row>
    <row r="238" spans="1:12" hidden="1" x14ac:dyDescent="0.45">
      <c r="A238" s="4" t="s">
        <v>1</v>
      </c>
    </row>
    <row r="239" spans="1:12" hidden="1" x14ac:dyDescent="0.45">
      <c r="A239" s="8" t="s">
        <v>112</v>
      </c>
      <c r="B239" s="8"/>
      <c r="C239" s="21"/>
      <c r="D239" s="16"/>
      <c r="E239" s="21"/>
      <c r="F239" s="8"/>
      <c r="G239" s="8"/>
      <c r="H239" s="8"/>
      <c r="I239" s="8"/>
      <c r="J239" s="8"/>
      <c r="K239" s="8"/>
      <c r="L239" s="8"/>
    </row>
    <row r="240" spans="1:12" hidden="1" x14ac:dyDescent="0.45">
      <c r="A240" s="5" t="s">
        <v>113</v>
      </c>
      <c r="B240" s="5"/>
      <c r="C240" s="22"/>
      <c r="D240" s="17"/>
      <c r="E240" s="22"/>
      <c r="F240" s="5"/>
      <c r="G240" s="5"/>
      <c r="H240" s="5"/>
      <c r="I240" s="5"/>
      <c r="J240" s="5"/>
      <c r="K240" s="5"/>
      <c r="L240" s="5"/>
    </row>
    <row r="241" spans="1:12" hidden="1" x14ac:dyDescent="0.45">
      <c r="A241" s="13"/>
      <c r="B241" s="13" t="s">
        <v>4</v>
      </c>
      <c r="C241" s="23" t="s">
        <v>5</v>
      </c>
      <c r="D241" s="18" t="s">
        <v>7</v>
      </c>
      <c r="E241" s="23" t="s">
        <v>8</v>
      </c>
      <c r="F241" s="13" t="s">
        <v>9</v>
      </c>
      <c r="G241" s="13"/>
      <c r="H241" s="13" t="s">
        <v>13</v>
      </c>
      <c r="I241" s="13"/>
      <c r="J241" s="13"/>
      <c r="K241" s="13"/>
      <c r="L241" s="13"/>
    </row>
    <row r="242" spans="1:12" hidden="1" x14ac:dyDescent="0.45">
      <c r="B242" s="4">
        <v>1</v>
      </c>
      <c r="D242" s="10" t="s">
        <v>114</v>
      </c>
      <c r="F242" s="4">
        <v>16</v>
      </c>
      <c r="H242" s="4" t="s">
        <v>20</v>
      </c>
      <c r="J242" s="4">
        <v>3.7</v>
      </c>
      <c r="L242" s="4" t="s">
        <v>28</v>
      </c>
    </row>
    <row r="243" spans="1:12" hidden="1" x14ac:dyDescent="0.45">
      <c r="A243" s="8"/>
      <c r="B243" s="8">
        <v>2</v>
      </c>
      <c r="C243" s="21"/>
      <c r="D243" s="16" t="s">
        <v>114</v>
      </c>
      <c r="E243" s="21"/>
      <c r="F243" s="8">
        <v>2</v>
      </c>
      <c r="G243" s="8" t="s">
        <v>31</v>
      </c>
      <c r="H243" s="8"/>
      <c r="I243" s="8"/>
      <c r="J243" s="8"/>
      <c r="K243" s="8"/>
      <c r="L243" s="8"/>
    </row>
    <row r="244" spans="1:12" hidden="1" x14ac:dyDescent="0.45">
      <c r="A244" s="5"/>
      <c r="B244" s="5">
        <v>3</v>
      </c>
      <c r="C244" s="22"/>
      <c r="D244" s="17" t="s">
        <v>114</v>
      </c>
      <c r="E244" s="22"/>
      <c r="F244" s="5">
        <v>1</v>
      </c>
      <c r="G244" s="5" t="s">
        <v>478</v>
      </c>
      <c r="H244" s="5" t="s">
        <v>38</v>
      </c>
      <c r="I244" s="5" t="s">
        <v>95</v>
      </c>
      <c r="J244" s="5">
        <v>46</v>
      </c>
      <c r="K244" s="5">
        <f t="shared" ref="K244:K246" si="21">J244*F244</f>
        <v>46</v>
      </c>
      <c r="L244" s="5"/>
    </row>
    <row r="245" spans="1:12" hidden="1" x14ac:dyDescent="0.45">
      <c r="A245" s="13"/>
      <c r="B245" s="13">
        <v>4</v>
      </c>
      <c r="C245" s="23"/>
      <c r="D245" s="18" t="s">
        <v>114</v>
      </c>
      <c r="E245" s="23"/>
      <c r="F245" s="13">
        <v>2</v>
      </c>
      <c r="G245" s="13" t="s">
        <v>33</v>
      </c>
      <c r="H245" s="13"/>
      <c r="I245" s="13" t="s">
        <v>97</v>
      </c>
      <c r="J245" s="13"/>
      <c r="K245" s="13">
        <f t="shared" si="21"/>
        <v>0</v>
      </c>
      <c r="L245" s="13"/>
    </row>
    <row r="246" spans="1:12" hidden="1" x14ac:dyDescent="0.45">
      <c r="B246" s="4">
        <v>5</v>
      </c>
      <c r="D246" s="10" t="s">
        <v>114</v>
      </c>
      <c r="F246" s="4">
        <v>1</v>
      </c>
      <c r="G246" s="4" t="s">
        <v>33</v>
      </c>
      <c r="I246" s="4" t="s">
        <v>97</v>
      </c>
      <c r="K246" s="4">
        <f t="shared" si="21"/>
        <v>0</v>
      </c>
    </row>
    <row r="247" spans="1:12" hidden="1" x14ac:dyDescent="0.45">
      <c r="A247" s="8"/>
      <c r="B247" s="8">
        <v>6</v>
      </c>
      <c r="C247" s="21"/>
      <c r="D247" s="16" t="s">
        <v>114</v>
      </c>
      <c r="E247" s="21"/>
      <c r="F247" s="8">
        <v>1</v>
      </c>
      <c r="G247" s="8" t="s">
        <v>115</v>
      </c>
      <c r="H247" s="8" t="s">
        <v>20</v>
      </c>
      <c r="I247" s="8"/>
      <c r="J247" s="8"/>
      <c r="K247" s="8"/>
      <c r="L247" s="8"/>
    </row>
    <row r="248" spans="1:12" hidden="1" x14ac:dyDescent="0.45">
      <c r="A248" s="5"/>
      <c r="B248" s="5">
        <v>7</v>
      </c>
      <c r="C248" s="22"/>
      <c r="D248" s="17" t="s">
        <v>114</v>
      </c>
      <c r="E248" s="22"/>
      <c r="F248" s="5">
        <v>2</v>
      </c>
      <c r="G248" s="5" t="s">
        <v>116</v>
      </c>
      <c r="H248" s="5"/>
      <c r="I248" s="5" t="s">
        <v>7</v>
      </c>
      <c r="J248" s="5"/>
      <c r="K248" s="5"/>
      <c r="L248" s="5"/>
    </row>
    <row r="249" spans="1:12" hidden="1" x14ac:dyDescent="0.45">
      <c r="A249" s="13"/>
      <c r="B249" s="13">
        <v>8</v>
      </c>
      <c r="C249" s="23"/>
      <c r="D249" s="18" t="s">
        <v>114</v>
      </c>
      <c r="E249" s="23"/>
      <c r="F249" s="13">
        <v>1</v>
      </c>
      <c r="G249" s="13" t="s">
        <v>117</v>
      </c>
      <c r="H249" s="13"/>
      <c r="I249" s="13"/>
      <c r="J249" s="13"/>
      <c r="K249" s="13"/>
      <c r="L249" s="13"/>
    </row>
    <row r="250" spans="1:12" hidden="1" x14ac:dyDescent="0.45">
      <c r="B250" s="4">
        <v>9</v>
      </c>
      <c r="D250" s="10" t="s">
        <v>114</v>
      </c>
      <c r="F250" s="4">
        <v>1</v>
      </c>
      <c r="G250" s="4" t="s">
        <v>118</v>
      </c>
      <c r="H250" s="4" t="s">
        <v>20</v>
      </c>
    </row>
    <row r="251" spans="1:12" hidden="1" x14ac:dyDescent="0.45">
      <c r="A251" s="8"/>
      <c r="B251" s="8">
        <v>10</v>
      </c>
      <c r="C251" s="21">
        <v>3</v>
      </c>
      <c r="D251" s="16" t="s">
        <v>114</v>
      </c>
      <c r="E251" s="21" t="s">
        <v>17</v>
      </c>
      <c r="F251" s="8">
        <v>1</v>
      </c>
      <c r="G251" s="8"/>
      <c r="H251" s="8"/>
      <c r="I251" s="8"/>
      <c r="J251" s="8">
        <v>118.4</v>
      </c>
      <c r="K251" s="8"/>
      <c r="L251" s="8"/>
    </row>
    <row r="252" spans="1:12" hidden="1" x14ac:dyDescent="0.45">
      <c r="A252" s="5"/>
      <c r="B252" s="5">
        <v>11</v>
      </c>
      <c r="C252" s="22">
        <v>3</v>
      </c>
      <c r="D252" s="17" t="s">
        <v>114</v>
      </c>
      <c r="E252" s="22" t="s">
        <v>17</v>
      </c>
      <c r="F252" s="5">
        <v>1</v>
      </c>
      <c r="G252" s="5"/>
      <c r="H252" s="5"/>
      <c r="I252" s="5"/>
      <c r="J252" s="5">
        <v>84.4</v>
      </c>
      <c r="K252" s="5"/>
      <c r="L252" s="5"/>
    </row>
    <row r="253" spans="1:12" hidden="1" x14ac:dyDescent="0.45">
      <c r="A253" s="13"/>
      <c r="B253" s="13">
        <v>12</v>
      </c>
      <c r="C253" s="23">
        <v>3</v>
      </c>
      <c r="D253" s="18" t="s">
        <v>114</v>
      </c>
      <c r="E253" s="23" t="s">
        <v>17</v>
      </c>
      <c r="F253" s="13">
        <v>2</v>
      </c>
      <c r="G253" s="13"/>
      <c r="H253" s="13" t="s">
        <v>7</v>
      </c>
      <c r="I253" s="13">
        <v>3302</v>
      </c>
      <c r="J253" s="13">
        <v>121</v>
      </c>
      <c r="K253" s="13"/>
      <c r="L253" s="13"/>
    </row>
    <row r="254" spans="1:12" hidden="1" x14ac:dyDescent="0.45">
      <c r="B254" s="4">
        <v>13</v>
      </c>
      <c r="C254" s="12">
        <v>3</v>
      </c>
      <c r="D254" s="10" t="s">
        <v>114</v>
      </c>
      <c r="E254" s="12" t="s">
        <v>17</v>
      </c>
      <c r="F254" s="4">
        <v>3</v>
      </c>
      <c r="G254" s="4" t="s">
        <v>7</v>
      </c>
      <c r="J254" s="4">
        <v>108.2</v>
      </c>
    </row>
    <row r="255" spans="1:12" hidden="1" x14ac:dyDescent="0.45">
      <c r="A255" s="8"/>
      <c r="B255" s="8">
        <v>14</v>
      </c>
      <c r="C255" s="21">
        <v>3</v>
      </c>
      <c r="D255" s="16" t="s">
        <v>114</v>
      </c>
      <c r="E255" s="21" t="s">
        <v>17</v>
      </c>
      <c r="F255" s="8">
        <v>3</v>
      </c>
      <c r="G255" s="8" t="s">
        <v>7</v>
      </c>
      <c r="H255" s="8"/>
      <c r="I255" s="8"/>
      <c r="J255" s="8">
        <v>56.3</v>
      </c>
      <c r="K255" s="8"/>
      <c r="L255" s="8"/>
    </row>
    <row r="256" spans="1:12" hidden="1" x14ac:dyDescent="0.45">
      <c r="A256" s="5"/>
      <c r="B256" s="5">
        <v>15</v>
      </c>
      <c r="C256" s="22">
        <v>3</v>
      </c>
      <c r="D256" s="17" t="s">
        <v>114</v>
      </c>
      <c r="E256" s="22" t="s">
        <v>17</v>
      </c>
      <c r="F256" s="5">
        <v>1</v>
      </c>
      <c r="G256" s="5" t="s">
        <v>23</v>
      </c>
      <c r="H256" s="5"/>
      <c r="I256" s="5"/>
      <c r="J256" s="5"/>
      <c r="K256" s="5"/>
      <c r="L256" s="5"/>
    </row>
    <row r="257" spans="1:12" hidden="1" x14ac:dyDescent="0.45">
      <c r="A257" s="13"/>
      <c r="B257" s="13">
        <v>16</v>
      </c>
      <c r="C257" s="23">
        <v>3</v>
      </c>
      <c r="D257" s="18" t="s">
        <v>114</v>
      </c>
      <c r="E257" s="23" t="s">
        <v>17</v>
      </c>
      <c r="F257" s="13">
        <v>4</v>
      </c>
      <c r="G257" s="13" t="s">
        <v>23</v>
      </c>
      <c r="H257" s="13"/>
      <c r="I257" s="13"/>
      <c r="J257" s="13"/>
      <c r="K257" s="13"/>
      <c r="L257" s="13"/>
    </row>
    <row r="258" spans="1:12" hidden="1" x14ac:dyDescent="0.45">
      <c r="B258" s="4">
        <v>17</v>
      </c>
      <c r="C258" s="12">
        <v>3</v>
      </c>
      <c r="D258" s="10" t="s">
        <v>114</v>
      </c>
      <c r="E258" s="12" t="s">
        <v>17</v>
      </c>
      <c r="F258" s="4">
        <v>2</v>
      </c>
      <c r="G258" s="4" t="s">
        <v>23</v>
      </c>
    </row>
    <row r="259" spans="1:12" hidden="1" x14ac:dyDescent="0.45">
      <c r="A259" s="8"/>
      <c r="B259" s="8">
        <v>18</v>
      </c>
      <c r="C259" s="21">
        <v>3</v>
      </c>
      <c r="D259" s="16" t="s">
        <v>114</v>
      </c>
      <c r="E259" s="21" t="s">
        <v>17</v>
      </c>
      <c r="F259" s="8">
        <v>2</v>
      </c>
      <c r="G259" s="8"/>
      <c r="H259" s="8" t="s">
        <v>38</v>
      </c>
      <c r="I259" s="8">
        <v>16.399999999999999</v>
      </c>
      <c r="J259" s="8"/>
      <c r="K259" s="8"/>
      <c r="L259" s="8"/>
    </row>
    <row r="260" spans="1:12" hidden="1" x14ac:dyDescent="0.45">
      <c r="A260" s="5" t="s">
        <v>0</v>
      </c>
      <c r="B260" s="5"/>
      <c r="C260" s="22"/>
      <c r="D260" s="17"/>
      <c r="E260" s="22"/>
      <c r="F260" s="5"/>
      <c r="G260" s="5"/>
      <c r="H260" s="5"/>
      <c r="I260" s="5"/>
      <c r="J260" s="5"/>
      <c r="K260" s="5"/>
      <c r="L260" s="5"/>
    </row>
    <row r="261" spans="1:12" hidden="1" x14ac:dyDescent="0.45">
      <c r="A261" s="13" t="s">
        <v>1</v>
      </c>
      <c r="B261" s="13"/>
      <c r="C261" s="23"/>
      <c r="D261" s="18"/>
      <c r="E261" s="23"/>
      <c r="F261" s="13"/>
      <c r="G261" s="13"/>
      <c r="H261" s="13"/>
      <c r="I261" s="13"/>
      <c r="J261" s="13"/>
      <c r="K261" s="13"/>
      <c r="L261" s="13"/>
    </row>
    <row r="262" spans="1:12" hidden="1" x14ac:dyDescent="0.45">
      <c r="A262" s="4" t="s">
        <v>112</v>
      </c>
    </row>
    <row r="263" spans="1:12" hidden="1" x14ac:dyDescent="0.45">
      <c r="A263" s="8" t="s">
        <v>120</v>
      </c>
      <c r="B263" s="8"/>
      <c r="C263" s="21"/>
      <c r="D263" s="16"/>
      <c r="E263" s="21"/>
      <c r="F263" s="8"/>
      <c r="G263" s="8"/>
      <c r="H263" s="8"/>
      <c r="I263" s="8"/>
      <c r="J263" s="8"/>
      <c r="K263" s="8"/>
      <c r="L263" s="8"/>
    </row>
    <row r="264" spans="1:12" hidden="1" x14ac:dyDescent="0.45">
      <c r="A264" s="5"/>
      <c r="B264" s="5" t="s">
        <v>4</v>
      </c>
      <c r="C264" s="22" t="s">
        <v>6</v>
      </c>
      <c r="D264" s="17" t="s">
        <v>7</v>
      </c>
      <c r="E264" s="22" t="s">
        <v>8</v>
      </c>
      <c r="F264" s="5" t="s">
        <v>9</v>
      </c>
      <c r="G264" s="5"/>
      <c r="H264" s="5" t="s">
        <v>13</v>
      </c>
      <c r="I264" s="5"/>
      <c r="J264" s="5"/>
      <c r="K264" s="5"/>
      <c r="L264" s="5"/>
    </row>
    <row r="265" spans="1:12" hidden="1" x14ac:dyDescent="0.45">
      <c r="A265" s="13"/>
      <c r="B265" s="13">
        <v>1</v>
      </c>
      <c r="C265" s="23"/>
      <c r="D265" s="18" t="s">
        <v>121</v>
      </c>
      <c r="E265" s="23"/>
      <c r="F265" s="13">
        <v>2</v>
      </c>
      <c r="G265" s="13" t="s">
        <v>476</v>
      </c>
      <c r="H265" s="13"/>
      <c r="I265" s="13" t="s">
        <v>101</v>
      </c>
      <c r="J265" s="13">
        <v>613.5</v>
      </c>
      <c r="K265" s="13">
        <f t="shared" ref="K265:K266" si="22">J265*F265</f>
        <v>1227</v>
      </c>
      <c r="L265" s="13"/>
    </row>
    <row r="266" spans="1:12" hidden="1" x14ac:dyDescent="0.45">
      <c r="B266" s="4">
        <v>2</v>
      </c>
      <c r="D266" s="10" t="s">
        <v>121</v>
      </c>
      <c r="F266" s="4">
        <v>1</v>
      </c>
      <c r="G266" s="4" t="s">
        <v>480</v>
      </c>
      <c r="I266" s="4" t="s">
        <v>102</v>
      </c>
      <c r="J266" s="4">
        <v>256.89999999999998</v>
      </c>
      <c r="K266" s="4">
        <f t="shared" si="22"/>
        <v>256.89999999999998</v>
      </c>
    </row>
    <row r="267" spans="1:12" hidden="1" x14ac:dyDescent="0.45">
      <c r="A267" s="8"/>
      <c r="B267" s="8">
        <v>3</v>
      </c>
      <c r="C267" s="21"/>
      <c r="D267" s="16" t="s">
        <v>121</v>
      </c>
      <c r="E267" s="21"/>
      <c r="F267" s="8">
        <v>16</v>
      </c>
      <c r="G267" s="8"/>
      <c r="H267" s="8"/>
      <c r="I267" s="8"/>
      <c r="J267" s="8">
        <v>28.3</v>
      </c>
      <c r="K267" s="8"/>
      <c r="L267" s="8"/>
    </row>
    <row r="268" spans="1:12" hidden="1" x14ac:dyDescent="0.45">
      <c r="A268" s="5"/>
      <c r="B268" s="5">
        <v>4</v>
      </c>
      <c r="C268" s="22"/>
      <c r="D268" s="17" t="s">
        <v>121</v>
      </c>
      <c r="E268" s="22"/>
      <c r="F268" s="5">
        <v>4</v>
      </c>
      <c r="G268" s="5" t="s">
        <v>50</v>
      </c>
      <c r="H268" s="5"/>
      <c r="I268" s="5"/>
      <c r="J268" s="5"/>
      <c r="K268" s="5"/>
      <c r="L268" s="5"/>
    </row>
    <row r="269" spans="1:12" hidden="1" x14ac:dyDescent="0.45">
      <c r="A269" s="13"/>
      <c r="B269" s="13">
        <v>5</v>
      </c>
      <c r="C269" s="23"/>
      <c r="D269" s="18" t="s">
        <v>121</v>
      </c>
      <c r="E269" s="23"/>
      <c r="F269" s="13">
        <v>4</v>
      </c>
      <c r="G269" s="13" t="s">
        <v>51</v>
      </c>
      <c r="H269" s="13"/>
      <c r="I269" s="13"/>
      <c r="J269" s="13"/>
      <c r="K269" s="13"/>
      <c r="L269" s="13"/>
    </row>
    <row r="270" spans="1:12" hidden="1" x14ac:dyDescent="0.45">
      <c r="B270" s="4">
        <v>6</v>
      </c>
      <c r="D270" s="10" t="s">
        <v>121</v>
      </c>
      <c r="F270" s="4">
        <v>1</v>
      </c>
      <c r="G270" s="4" t="s">
        <v>480</v>
      </c>
      <c r="I270" s="4" t="s">
        <v>102</v>
      </c>
      <c r="J270" s="4">
        <v>403.4</v>
      </c>
      <c r="K270" s="4">
        <f t="shared" ref="K270:K271" si="23">J270*F270</f>
        <v>403.4</v>
      </c>
    </row>
    <row r="271" spans="1:12" x14ac:dyDescent="0.45">
      <c r="A271" s="8"/>
      <c r="B271" s="8">
        <v>7</v>
      </c>
      <c r="C271" s="21"/>
      <c r="D271" s="16" t="s">
        <v>121</v>
      </c>
      <c r="E271" s="21"/>
      <c r="F271" s="8">
        <v>4</v>
      </c>
      <c r="G271" s="8" t="s">
        <v>53</v>
      </c>
      <c r="H271" s="8"/>
      <c r="I271" s="8">
        <v>3251</v>
      </c>
      <c r="J271" s="8">
        <v>29.2</v>
      </c>
      <c r="K271" s="8">
        <f t="shared" si="23"/>
        <v>116.8</v>
      </c>
      <c r="L271" s="8"/>
    </row>
    <row r="272" spans="1:12" hidden="1" x14ac:dyDescent="0.45">
      <c r="A272" s="5" t="s">
        <v>0</v>
      </c>
      <c r="B272" s="5"/>
      <c r="C272" s="22"/>
      <c r="D272" s="17"/>
      <c r="E272" s="22"/>
      <c r="F272" s="5"/>
      <c r="G272" s="5"/>
      <c r="H272" s="5"/>
      <c r="I272" s="5"/>
      <c r="J272" s="5"/>
      <c r="K272" s="5"/>
      <c r="L272" s="5"/>
    </row>
    <row r="273" spans="1:12" hidden="1" x14ac:dyDescent="0.45">
      <c r="A273" s="13" t="s">
        <v>1</v>
      </c>
      <c r="B273" s="13"/>
      <c r="C273" s="23"/>
      <c r="D273" s="18"/>
      <c r="E273" s="23"/>
      <c r="F273" s="13"/>
      <c r="G273" s="13"/>
      <c r="H273" s="13"/>
      <c r="I273" s="13"/>
      <c r="J273" s="13"/>
      <c r="K273" s="13"/>
      <c r="L273" s="13"/>
    </row>
    <row r="274" spans="1:12" hidden="1" x14ac:dyDescent="0.45">
      <c r="A274" s="4" t="s">
        <v>112</v>
      </c>
    </row>
    <row r="275" spans="1:12" hidden="1" x14ac:dyDescent="0.45">
      <c r="A275" s="8" t="s">
        <v>122</v>
      </c>
      <c r="B275" s="8"/>
      <c r="C275" s="21"/>
      <c r="D275" s="16"/>
      <c r="E275" s="21"/>
      <c r="F275" s="8"/>
      <c r="G275" s="8"/>
      <c r="H275" s="8"/>
      <c r="I275" s="8"/>
      <c r="J275" s="8"/>
      <c r="K275" s="8"/>
      <c r="L275" s="8"/>
    </row>
    <row r="276" spans="1:12" hidden="1" x14ac:dyDescent="0.45">
      <c r="A276" s="5"/>
      <c r="B276" s="5" t="s">
        <v>4</v>
      </c>
      <c r="C276" s="22" t="s">
        <v>6</v>
      </c>
      <c r="D276" s="17" t="s">
        <v>7</v>
      </c>
      <c r="E276" s="22" t="s">
        <v>8</v>
      </c>
      <c r="F276" s="5" t="s">
        <v>9</v>
      </c>
      <c r="G276" s="5"/>
      <c r="H276" s="5" t="s">
        <v>14</v>
      </c>
      <c r="I276" s="5"/>
      <c r="J276" s="5"/>
      <c r="K276" s="5"/>
      <c r="L276" s="5"/>
    </row>
    <row r="277" spans="1:12" hidden="1" x14ac:dyDescent="0.45">
      <c r="A277" s="13"/>
      <c r="B277" s="13">
        <v>1</v>
      </c>
      <c r="C277" s="23"/>
      <c r="D277" s="18" t="s">
        <v>123</v>
      </c>
      <c r="E277" s="23"/>
      <c r="F277" s="13">
        <v>4</v>
      </c>
      <c r="G277" s="13" t="s">
        <v>477</v>
      </c>
      <c r="H277" s="13" t="s">
        <v>38</v>
      </c>
      <c r="I277" s="13" t="s">
        <v>73</v>
      </c>
      <c r="J277" s="13">
        <v>0.4</v>
      </c>
      <c r="K277" s="13">
        <f t="shared" ref="K277:K281" si="24">J277*F277</f>
        <v>1.6</v>
      </c>
      <c r="L277" s="13"/>
    </row>
    <row r="278" spans="1:12" hidden="1" x14ac:dyDescent="0.45">
      <c r="B278" s="4">
        <v>2</v>
      </c>
      <c r="D278" s="10" t="s">
        <v>123</v>
      </c>
      <c r="F278" s="4">
        <v>1</v>
      </c>
      <c r="G278" s="4" t="s">
        <v>33</v>
      </c>
      <c r="K278" s="4">
        <f t="shared" si="24"/>
        <v>0</v>
      </c>
    </row>
    <row r="279" spans="1:12" hidden="1" x14ac:dyDescent="0.45">
      <c r="A279" s="8"/>
      <c r="B279" s="8">
        <v>3</v>
      </c>
      <c r="C279" s="21"/>
      <c r="D279" s="16" t="s">
        <v>123</v>
      </c>
      <c r="E279" s="21"/>
      <c r="F279" s="8">
        <v>1</v>
      </c>
      <c r="G279" s="8" t="s">
        <v>33</v>
      </c>
      <c r="H279" s="8"/>
      <c r="I279" s="8"/>
      <c r="J279" s="8"/>
      <c r="K279" s="8">
        <f t="shared" si="24"/>
        <v>0</v>
      </c>
      <c r="L279" s="8"/>
    </row>
    <row r="280" spans="1:12" hidden="1" x14ac:dyDescent="0.45">
      <c r="A280" s="5"/>
      <c r="B280" s="5">
        <v>4</v>
      </c>
      <c r="C280" s="22"/>
      <c r="D280" s="17" t="s">
        <v>123</v>
      </c>
      <c r="E280" s="22"/>
      <c r="F280" s="5">
        <v>1</v>
      </c>
      <c r="G280" s="5" t="s">
        <v>33</v>
      </c>
      <c r="H280" s="5"/>
      <c r="I280" s="5"/>
      <c r="J280" s="5"/>
      <c r="K280" s="5">
        <f t="shared" si="24"/>
        <v>0</v>
      </c>
      <c r="L280" s="5"/>
    </row>
    <row r="281" spans="1:12" hidden="1" x14ac:dyDescent="0.45">
      <c r="A281" s="13"/>
      <c r="B281" s="13">
        <v>5</v>
      </c>
      <c r="C281" s="23"/>
      <c r="D281" s="18" t="s">
        <v>123</v>
      </c>
      <c r="E281" s="23"/>
      <c r="F281" s="13">
        <v>1</v>
      </c>
      <c r="G281" s="13" t="s">
        <v>33</v>
      </c>
      <c r="H281" s="13"/>
      <c r="I281" s="13"/>
      <c r="J281" s="13"/>
      <c r="K281" s="13">
        <f t="shared" si="24"/>
        <v>0</v>
      </c>
      <c r="L281" s="13"/>
    </row>
    <row r="282" spans="1:12" hidden="1" x14ac:dyDescent="0.45">
      <c r="A282" s="4" t="s">
        <v>0</v>
      </c>
    </row>
    <row r="283" spans="1:12" hidden="1" x14ac:dyDescent="0.45">
      <c r="A283" s="8" t="s">
        <v>1</v>
      </c>
      <c r="B283" s="8"/>
      <c r="C283" s="21"/>
      <c r="D283" s="16"/>
      <c r="E283" s="21"/>
      <c r="F283" s="8"/>
      <c r="G283" s="8"/>
      <c r="H283" s="8"/>
      <c r="I283" s="8"/>
      <c r="J283" s="8"/>
      <c r="K283" s="8"/>
      <c r="L283" s="8"/>
    </row>
    <row r="284" spans="1:12" hidden="1" x14ac:dyDescent="0.45">
      <c r="A284" s="5" t="s">
        <v>112</v>
      </c>
      <c r="B284" s="5"/>
      <c r="C284" s="22"/>
      <c r="D284" s="17"/>
      <c r="E284" s="22"/>
      <c r="F284" s="5"/>
      <c r="G284" s="5"/>
      <c r="H284" s="5"/>
      <c r="I284" s="5"/>
      <c r="J284" s="5"/>
      <c r="K284" s="5"/>
      <c r="L284" s="5"/>
    </row>
    <row r="285" spans="1:12" hidden="1" x14ac:dyDescent="0.45">
      <c r="A285" s="13" t="s">
        <v>124</v>
      </c>
      <c r="B285" s="13"/>
      <c r="C285" s="23"/>
      <c r="D285" s="18"/>
      <c r="E285" s="23"/>
      <c r="F285" s="13"/>
      <c r="G285" s="13"/>
      <c r="H285" s="13"/>
      <c r="I285" s="13"/>
      <c r="J285" s="13"/>
      <c r="K285" s="13"/>
      <c r="L285" s="13"/>
    </row>
    <row r="286" spans="1:12" hidden="1" x14ac:dyDescent="0.45">
      <c r="B286" s="4" t="s">
        <v>4</v>
      </c>
      <c r="C286" s="12" t="s">
        <v>6</v>
      </c>
      <c r="D286" s="10" t="s">
        <v>7</v>
      </c>
      <c r="E286" s="12" t="s">
        <v>8</v>
      </c>
      <c r="F286" s="4" t="s">
        <v>9</v>
      </c>
      <c r="H286" s="4" t="s">
        <v>14</v>
      </c>
    </row>
    <row r="287" spans="1:12" hidden="1" x14ac:dyDescent="0.45">
      <c r="A287" s="8"/>
      <c r="B287" s="8">
        <v>1</v>
      </c>
      <c r="C287" s="21"/>
      <c r="D287" s="16" t="s">
        <v>125</v>
      </c>
      <c r="E287" s="21"/>
      <c r="F287" s="8">
        <v>4</v>
      </c>
      <c r="G287" s="8" t="s">
        <v>477</v>
      </c>
      <c r="H287" s="8" t="s">
        <v>38</v>
      </c>
      <c r="I287" s="8" t="s">
        <v>73</v>
      </c>
      <c r="J287" s="8">
        <v>0.4</v>
      </c>
      <c r="K287" s="8">
        <f t="shared" ref="K287:K291" si="25">J287*F287</f>
        <v>1.6</v>
      </c>
      <c r="L287" s="8"/>
    </row>
    <row r="288" spans="1:12" hidden="1" x14ac:dyDescent="0.45">
      <c r="A288" s="5"/>
      <c r="B288" s="5">
        <v>2</v>
      </c>
      <c r="C288" s="22"/>
      <c r="D288" s="17" t="s">
        <v>125</v>
      </c>
      <c r="E288" s="22"/>
      <c r="F288" s="5">
        <v>1</v>
      </c>
      <c r="G288" s="5" t="s">
        <v>33</v>
      </c>
      <c r="H288" s="5"/>
      <c r="I288" s="5"/>
      <c r="J288" s="5"/>
      <c r="K288" s="5">
        <f t="shared" si="25"/>
        <v>0</v>
      </c>
      <c r="L288" s="5"/>
    </row>
    <row r="289" spans="1:12" hidden="1" x14ac:dyDescent="0.45">
      <c r="A289" s="13"/>
      <c r="B289" s="13">
        <v>3</v>
      </c>
      <c r="C289" s="23"/>
      <c r="D289" s="18" t="s">
        <v>125</v>
      </c>
      <c r="E289" s="23"/>
      <c r="F289" s="13">
        <v>1</v>
      </c>
      <c r="G289" s="13" t="s">
        <v>33</v>
      </c>
      <c r="H289" s="13"/>
      <c r="I289" s="13"/>
      <c r="J289" s="13"/>
      <c r="K289" s="13">
        <f t="shared" si="25"/>
        <v>0</v>
      </c>
      <c r="L289" s="13"/>
    </row>
    <row r="290" spans="1:12" hidden="1" x14ac:dyDescent="0.45">
      <c r="B290" s="4">
        <v>4</v>
      </c>
      <c r="D290" s="10" t="s">
        <v>125</v>
      </c>
      <c r="F290" s="4">
        <v>1</v>
      </c>
      <c r="G290" s="4" t="s">
        <v>33</v>
      </c>
      <c r="K290" s="4">
        <f t="shared" si="25"/>
        <v>0</v>
      </c>
    </row>
    <row r="291" spans="1:12" hidden="1" x14ac:dyDescent="0.45">
      <c r="A291" s="8"/>
      <c r="B291" s="8">
        <v>5</v>
      </c>
      <c r="C291" s="21"/>
      <c r="D291" s="16" t="s">
        <v>125</v>
      </c>
      <c r="E291" s="21"/>
      <c r="F291" s="8">
        <v>1</v>
      </c>
      <c r="G291" s="8" t="s">
        <v>33</v>
      </c>
      <c r="H291" s="8"/>
      <c r="I291" s="8"/>
      <c r="J291" s="8"/>
      <c r="K291" s="8">
        <f t="shared" si="25"/>
        <v>0</v>
      </c>
      <c r="L291" s="8"/>
    </row>
    <row r="292" spans="1:12" hidden="1" x14ac:dyDescent="0.45">
      <c r="A292" s="5" t="s">
        <v>0</v>
      </c>
      <c r="B292" s="5"/>
      <c r="C292" s="22"/>
      <c r="D292" s="17"/>
      <c r="E292" s="22"/>
      <c r="F292" s="5"/>
      <c r="G292" s="5"/>
      <c r="H292" s="5"/>
      <c r="I292" s="5"/>
      <c r="J292" s="5"/>
      <c r="K292" s="5"/>
      <c r="L292" s="5"/>
    </row>
    <row r="293" spans="1:12" hidden="1" x14ac:dyDescent="0.45">
      <c r="A293" s="13" t="s">
        <v>1</v>
      </c>
      <c r="B293" s="13"/>
      <c r="C293" s="23"/>
      <c r="D293" s="18"/>
      <c r="E293" s="23"/>
      <c r="F293" s="13"/>
      <c r="G293" s="13"/>
      <c r="H293" s="13"/>
      <c r="I293" s="13"/>
      <c r="J293" s="13"/>
      <c r="K293" s="13"/>
      <c r="L293" s="13"/>
    </row>
    <row r="294" spans="1:12" hidden="1" x14ac:dyDescent="0.45">
      <c r="A294" s="4" t="s">
        <v>112</v>
      </c>
    </row>
    <row r="295" spans="1:12" hidden="1" x14ac:dyDescent="0.45">
      <c r="A295" s="8" t="s">
        <v>126</v>
      </c>
      <c r="B295" s="8"/>
      <c r="C295" s="21"/>
      <c r="D295" s="16"/>
      <c r="E295" s="21"/>
      <c r="F295" s="8"/>
      <c r="G295" s="8"/>
      <c r="H295" s="8"/>
      <c r="I295" s="8"/>
      <c r="J295" s="8"/>
      <c r="K295" s="8"/>
      <c r="L295" s="8"/>
    </row>
    <row r="296" spans="1:12" hidden="1" x14ac:dyDescent="0.45">
      <c r="A296" s="5"/>
      <c r="B296" s="5" t="s">
        <v>4</v>
      </c>
      <c r="C296" s="22" t="s">
        <v>6</v>
      </c>
      <c r="D296" s="17" t="s">
        <v>7</v>
      </c>
      <c r="E296" s="22" t="s">
        <v>8</v>
      </c>
      <c r="F296" s="5" t="s">
        <v>9</v>
      </c>
      <c r="G296" s="5"/>
      <c r="H296" s="5" t="s">
        <v>14</v>
      </c>
      <c r="I296" s="5"/>
      <c r="J296" s="5"/>
      <c r="K296" s="5"/>
      <c r="L296" s="5"/>
    </row>
    <row r="297" spans="1:12" hidden="1" x14ac:dyDescent="0.45">
      <c r="A297" s="13"/>
      <c r="B297" s="13">
        <v>1</v>
      </c>
      <c r="C297" s="23"/>
      <c r="D297" s="18" t="s">
        <v>127</v>
      </c>
      <c r="E297" s="23"/>
      <c r="F297" s="13">
        <v>1</v>
      </c>
      <c r="G297" s="13" t="s">
        <v>82</v>
      </c>
      <c r="H297" s="13"/>
      <c r="I297" s="13"/>
      <c r="J297" s="13"/>
      <c r="K297" s="13">
        <f t="shared" ref="K297:K298" si="26">J297*F297</f>
        <v>0</v>
      </c>
      <c r="L297" s="13"/>
    </row>
    <row r="298" spans="1:12" hidden="1" x14ac:dyDescent="0.45">
      <c r="B298" s="4">
        <v>2</v>
      </c>
      <c r="D298" s="10" t="s">
        <v>127</v>
      </c>
      <c r="F298" s="4">
        <v>1</v>
      </c>
      <c r="G298" s="4" t="s">
        <v>33</v>
      </c>
      <c r="K298" s="4">
        <f t="shared" si="26"/>
        <v>0</v>
      </c>
    </row>
    <row r="299" spans="1:12" hidden="1" x14ac:dyDescent="0.45">
      <c r="A299" s="8" t="s">
        <v>0</v>
      </c>
      <c r="B299" s="8"/>
      <c r="C299" s="21"/>
      <c r="D299" s="16"/>
      <c r="E299" s="21"/>
      <c r="F299" s="8"/>
      <c r="G299" s="8"/>
      <c r="H299" s="8"/>
      <c r="I299" s="8"/>
      <c r="J299" s="8"/>
      <c r="K299" s="8"/>
      <c r="L299" s="8"/>
    </row>
    <row r="300" spans="1:12" hidden="1" x14ac:dyDescent="0.45">
      <c r="A300" s="5" t="s">
        <v>1</v>
      </c>
      <c r="B300" s="5"/>
      <c r="C300" s="22"/>
      <c r="D300" s="17"/>
      <c r="E300" s="22"/>
      <c r="F300" s="5"/>
      <c r="G300" s="5"/>
      <c r="H300" s="5"/>
      <c r="I300" s="5"/>
      <c r="J300" s="5"/>
      <c r="K300" s="5"/>
      <c r="L300" s="5"/>
    </row>
    <row r="301" spans="1:12" hidden="1" x14ac:dyDescent="0.45">
      <c r="A301" s="13" t="s">
        <v>128</v>
      </c>
      <c r="B301" s="13"/>
      <c r="C301" s="23"/>
      <c r="D301" s="18"/>
      <c r="E301" s="23"/>
      <c r="F301" s="13"/>
      <c r="G301" s="13"/>
      <c r="H301" s="13"/>
      <c r="I301" s="13"/>
      <c r="J301" s="13"/>
      <c r="K301" s="13"/>
      <c r="L301" s="13"/>
    </row>
    <row r="302" spans="1:12" hidden="1" x14ac:dyDescent="0.45">
      <c r="A302" s="4" t="s">
        <v>129</v>
      </c>
    </row>
    <row r="303" spans="1:12" hidden="1" x14ac:dyDescent="0.45">
      <c r="A303" s="8"/>
      <c r="B303" s="8" t="s">
        <v>4</v>
      </c>
      <c r="C303" s="21" t="s">
        <v>6</v>
      </c>
      <c r="D303" s="16" t="s">
        <v>7</v>
      </c>
      <c r="E303" s="21" t="s">
        <v>8</v>
      </c>
      <c r="F303" s="8" t="s">
        <v>9</v>
      </c>
      <c r="G303" s="8"/>
      <c r="H303" s="8" t="s">
        <v>14</v>
      </c>
      <c r="I303" s="8"/>
      <c r="J303" s="8"/>
      <c r="K303" s="8"/>
      <c r="L303" s="8"/>
    </row>
    <row r="304" spans="1:12" hidden="1" x14ac:dyDescent="0.45">
      <c r="A304" s="5"/>
      <c r="B304" s="5">
        <v>1</v>
      </c>
      <c r="C304" s="22"/>
      <c r="D304" s="17" t="s">
        <v>130</v>
      </c>
      <c r="E304" s="22"/>
      <c r="F304" s="5">
        <v>16</v>
      </c>
      <c r="G304" s="5"/>
      <c r="H304" s="5" t="s">
        <v>20</v>
      </c>
      <c r="I304" s="5"/>
      <c r="J304" s="5">
        <v>3.7</v>
      </c>
      <c r="K304" s="5"/>
      <c r="L304" s="5"/>
    </row>
    <row r="305" spans="1:12" hidden="1" x14ac:dyDescent="0.45">
      <c r="A305" s="13"/>
      <c r="B305" s="13">
        <v>2</v>
      </c>
      <c r="C305" s="23"/>
      <c r="D305" s="18" t="s">
        <v>130</v>
      </c>
      <c r="E305" s="23"/>
      <c r="F305" s="13">
        <v>2</v>
      </c>
      <c r="G305" s="13" t="s">
        <v>31</v>
      </c>
      <c r="H305" s="13"/>
      <c r="I305" s="13"/>
      <c r="J305" s="13"/>
      <c r="K305" s="13"/>
      <c r="L305" s="13"/>
    </row>
    <row r="306" spans="1:12" hidden="1" x14ac:dyDescent="0.45">
      <c r="B306" s="4">
        <v>3</v>
      </c>
      <c r="D306" s="10" t="s">
        <v>130</v>
      </c>
      <c r="F306" s="4">
        <v>2</v>
      </c>
      <c r="G306" s="4" t="s">
        <v>33</v>
      </c>
      <c r="J306" s="4" t="s">
        <v>7</v>
      </c>
      <c r="K306" s="4" t="e">
        <f t="shared" ref="K306:K307" si="27">J306*F306</f>
        <v>#VALUE!</v>
      </c>
    </row>
    <row r="307" spans="1:12" hidden="1" x14ac:dyDescent="0.45">
      <c r="A307" s="8"/>
      <c r="B307" s="8">
        <v>4</v>
      </c>
      <c r="C307" s="21"/>
      <c r="D307" s="16" t="s">
        <v>130</v>
      </c>
      <c r="E307" s="21"/>
      <c r="F307" s="8">
        <v>1</v>
      </c>
      <c r="G307" s="8" t="s">
        <v>33</v>
      </c>
      <c r="H307" s="8"/>
      <c r="I307" s="8"/>
      <c r="J307" s="8"/>
      <c r="K307" s="8">
        <f t="shared" si="27"/>
        <v>0</v>
      </c>
      <c r="L307" s="8"/>
    </row>
    <row r="308" spans="1:12" hidden="1" x14ac:dyDescent="0.45">
      <c r="A308" s="5"/>
      <c r="B308" s="5">
        <v>5</v>
      </c>
      <c r="C308" s="22"/>
      <c r="D308" s="17" t="s">
        <v>130</v>
      </c>
      <c r="E308" s="22"/>
      <c r="F308" s="5">
        <v>1</v>
      </c>
      <c r="G308" s="5" t="s">
        <v>131</v>
      </c>
      <c r="H308" s="5"/>
      <c r="I308" s="5" t="s">
        <v>7</v>
      </c>
      <c r="J308" s="5"/>
      <c r="K308" s="5"/>
      <c r="L308" s="5"/>
    </row>
    <row r="309" spans="1:12" hidden="1" x14ac:dyDescent="0.45">
      <c r="A309" s="13"/>
      <c r="B309" s="13">
        <v>6</v>
      </c>
      <c r="C309" s="23"/>
      <c r="D309" s="18" t="s">
        <v>130</v>
      </c>
      <c r="E309" s="23"/>
      <c r="F309" s="13">
        <v>1</v>
      </c>
      <c r="G309" s="13" t="s">
        <v>132</v>
      </c>
      <c r="H309" s="13" t="s">
        <v>20</v>
      </c>
      <c r="I309" s="13"/>
      <c r="J309" s="13"/>
      <c r="K309" s="13"/>
      <c r="L309" s="13"/>
    </row>
    <row r="310" spans="1:12" hidden="1" x14ac:dyDescent="0.45">
      <c r="B310" s="4">
        <v>7</v>
      </c>
      <c r="D310" s="10" t="s">
        <v>130</v>
      </c>
      <c r="F310" s="4">
        <v>1</v>
      </c>
      <c r="G310" s="4" t="s">
        <v>133</v>
      </c>
    </row>
    <row r="311" spans="1:12" hidden="1" x14ac:dyDescent="0.45">
      <c r="A311" s="8"/>
      <c r="B311" s="8">
        <v>8</v>
      </c>
      <c r="C311" s="21"/>
      <c r="D311" s="16" t="s">
        <v>130</v>
      </c>
      <c r="E311" s="21"/>
      <c r="F311" s="8">
        <v>1</v>
      </c>
      <c r="G311" s="8" t="s">
        <v>134</v>
      </c>
      <c r="H311" s="8" t="s">
        <v>20</v>
      </c>
      <c r="I311" s="8"/>
      <c r="J311" s="8"/>
      <c r="K311" s="8"/>
      <c r="L311" s="8"/>
    </row>
    <row r="312" spans="1:12" hidden="1" x14ac:dyDescent="0.45">
      <c r="A312" s="5" t="s">
        <v>0</v>
      </c>
      <c r="B312" s="5"/>
      <c r="C312" s="22"/>
      <c r="D312" s="17"/>
      <c r="E312" s="22"/>
      <c r="F312" s="5"/>
      <c r="G312" s="5"/>
      <c r="H312" s="5"/>
      <c r="I312" s="5"/>
      <c r="J312" s="5"/>
      <c r="K312" s="5"/>
      <c r="L312" s="5"/>
    </row>
    <row r="313" spans="1:12" hidden="1" x14ac:dyDescent="0.45">
      <c r="A313" s="13" t="s">
        <v>1</v>
      </c>
      <c r="B313" s="13"/>
      <c r="C313" s="23"/>
      <c r="D313" s="18"/>
      <c r="E313" s="23"/>
      <c r="F313" s="13"/>
      <c r="G313" s="13"/>
      <c r="H313" s="13"/>
      <c r="I313" s="13"/>
      <c r="J313" s="13"/>
      <c r="K313" s="13"/>
      <c r="L313" s="13"/>
    </row>
    <row r="314" spans="1:12" hidden="1" x14ac:dyDescent="0.45">
      <c r="A314" s="4" t="s">
        <v>128</v>
      </c>
    </row>
    <row r="315" spans="1:12" hidden="1" x14ac:dyDescent="0.45">
      <c r="A315" s="8" t="s">
        <v>135</v>
      </c>
      <c r="B315" s="8"/>
      <c r="C315" s="21"/>
      <c r="D315" s="16"/>
      <c r="E315" s="21"/>
      <c r="F315" s="8"/>
      <c r="G315" s="8"/>
      <c r="H315" s="8"/>
      <c r="I315" s="8"/>
      <c r="J315" s="8"/>
      <c r="K315" s="8"/>
      <c r="L315" s="8"/>
    </row>
    <row r="316" spans="1:12" hidden="1" x14ac:dyDescent="0.45">
      <c r="A316" s="5"/>
      <c r="B316" s="5" t="s">
        <v>4</v>
      </c>
      <c r="C316" s="22" t="s">
        <v>6</v>
      </c>
      <c r="D316" s="17" t="s">
        <v>7</v>
      </c>
      <c r="E316" s="22" t="s">
        <v>8</v>
      </c>
      <c r="F316" s="5" t="s">
        <v>9</v>
      </c>
      <c r="G316" s="5"/>
      <c r="H316" s="5" t="s">
        <v>13</v>
      </c>
      <c r="I316" s="5"/>
      <c r="J316" s="5"/>
      <c r="K316" s="5"/>
      <c r="L316" s="5"/>
    </row>
    <row r="317" spans="1:12" hidden="1" x14ac:dyDescent="0.45">
      <c r="A317" s="13"/>
      <c r="B317" s="13">
        <v>1</v>
      </c>
      <c r="C317" s="23"/>
      <c r="D317" s="18" t="s">
        <v>136</v>
      </c>
      <c r="E317" s="23"/>
      <c r="F317" s="13">
        <v>2</v>
      </c>
      <c r="G317" s="13" t="s">
        <v>480</v>
      </c>
      <c r="H317" s="13"/>
      <c r="I317" s="13" t="s">
        <v>101</v>
      </c>
      <c r="J317" s="13">
        <v>613.5</v>
      </c>
      <c r="K317" s="13">
        <f t="shared" ref="K317:K319" si="28">J317*F317</f>
        <v>1227</v>
      </c>
      <c r="L317" s="13"/>
    </row>
    <row r="318" spans="1:12" hidden="1" x14ac:dyDescent="0.45">
      <c r="B318" s="4">
        <v>2</v>
      </c>
      <c r="D318" s="10" t="s">
        <v>136</v>
      </c>
      <c r="F318" s="4">
        <v>1</v>
      </c>
      <c r="G318" s="4" t="s">
        <v>476</v>
      </c>
      <c r="I318" s="4" t="s">
        <v>102</v>
      </c>
      <c r="J318" s="4">
        <v>256.89999999999998</v>
      </c>
      <c r="K318" s="4">
        <f t="shared" si="28"/>
        <v>256.89999999999998</v>
      </c>
    </row>
    <row r="319" spans="1:12" hidden="1" x14ac:dyDescent="0.45">
      <c r="A319" s="8"/>
      <c r="B319" s="8">
        <v>3</v>
      </c>
      <c r="C319" s="21"/>
      <c r="D319" s="16" t="s">
        <v>136</v>
      </c>
      <c r="E319" s="21"/>
      <c r="F319" s="8">
        <v>1</v>
      </c>
      <c r="G319" s="8" t="s">
        <v>476</v>
      </c>
      <c r="H319" s="8"/>
      <c r="I319" s="8" t="s">
        <v>102</v>
      </c>
      <c r="J319" s="8">
        <v>403.4</v>
      </c>
      <c r="K319" s="8">
        <f t="shared" si="28"/>
        <v>403.4</v>
      </c>
      <c r="L319" s="8"/>
    </row>
    <row r="320" spans="1:12" hidden="1" x14ac:dyDescent="0.45">
      <c r="A320" s="5"/>
      <c r="B320" s="5">
        <v>4</v>
      </c>
      <c r="C320" s="22"/>
      <c r="D320" s="17" t="s">
        <v>136</v>
      </c>
      <c r="E320" s="22"/>
      <c r="F320" s="5">
        <v>16</v>
      </c>
      <c r="G320" s="5"/>
      <c r="H320" s="5"/>
      <c r="I320" s="5"/>
      <c r="J320" s="5">
        <v>28.3</v>
      </c>
      <c r="K320" s="5"/>
      <c r="L320" s="5"/>
    </row>
    <row r="321" spans="1:12" hidden="1" x14ac:dyDescent="0.45">
      <c r="A321" s="13"/>
      <c r="B321" s="13">
        <v>5</v>
      </c>
      <c r="C321" s="23"/>
      <c r="D321" s="18" t="s">
        <v>136</v>
      </c>
      <c r="E321" s="23"/>
      <c r="F321" s="13">
        <v>4</v>
      </c>
      <c r="G321" s="13" t="s">
        <v>50</v>
      </c>
      <c r="H321" s="13"/>
      <c r="I321" s="13"/>
      <c r="J321" s="13"/>
      <c r="K321" s="13"/>
      <c r="L321" s="13"/>
    </row>
    <row r="322" spans="1:12" hidden="1" x14ac:dyDescent="0.45">
      <c r="B322" s="4">
        <v>6</v>
      </c>
      <c r="D322" s="10" t="s">
        <v>136</v>
      </c>
      <c r="F322" s="4">
        <v>4</v>
      </c>
      <c r="G322" s="4" t="s">
        <v>51</v>
      </c>
    </row>
    <row r="323" spans="1:12" x14ac:dyDescent="0.45">
      <c r="A323" s="8"/>
      <c r="B323" s="8">
        <v>7</v>
      </c>
      <c r="C323" s="21"/>
      <c r="D323" s="16" t="s">
        <v>136</v>
      </c>
      <c r="E323" s="21"/>
      <c r="F323" s="8">
        <v>4</v>
      </c>
      <c r="G323" s="8" t="s">
        <v>53</v>
      </c>
      <c r="H323" s="8"/>
      <c r="I323" s="8">
        <v>3251</v>
      </c>
      <c r="J323" s="8">
        <v>29.2</v>
      </c>
      <c r="K323" s="8">
        <f>J323*F323</f>
        <v>116.8</v>
      </c>
      <c r="L323" s="8"/>
    </row>
    <row r="324" spans="1:12" hidden="1" x14ac:dyDescent="0.45">
      <c r="A324" s="5" t="s">
        <v>0</v>
      </c>
      <c r="B324" s="5"/>
      <c r="C324" s="22"/>
      <c r="D324" s="17"/>
      <c r="E324" s="22"/>
      <c r="F324" s="5"/>
      <c r="G324" s="5"/>
      <c r="H324" s="5"/>
      <c r="I324" s="5"/>
      <c r="J324" s="5"/>
      <c r="K324" s="5"/>
      <c r="L324" s="5"/>
    </row>
    <row r="325" spans="1:12" hidden="1" x14ac:dyDescent="0.45">
      <c r="A325" s="13" t="s">
        <v>1</v>
      </c>
      <c r="B325" s="13"/>
      <c r="C325" s="23"/>
      <c r="D325" s="18"/>
      <c r="E325" s="23"/>
      <c r="F325" s="13"/>
      <c r="G325" s="13"/>
      <c r="H325" s="13"/>
      <c r="I325" s="13"/>
      <c r="J325" s="13"/>
      <c r="K325" s="13"/>
      <c r="L325" s="13"/>
    </row>
    <row r="326" spans="1:12" hidden="1" x14ac:dyDescent="0.45">
      <c r="A326" s="4" t="s">
        <v>128</v>
      </c>
    </row>
    <row r="327" spans="1:12" hidden="1" x14ac:dyDescent="0.45">
      <c r="A327" s="8" t="s">
        <v>137</v>
      </c>
      <c r="B327" s="8"/>
      <c r="C327" s="21"/>
      <c r="D327" s="16"/>
      <c r="E327" s="21"/>
      <c r="F327" s="8"/>
      <c r="G327" s="8"/>
      <c r="H327" s="8"/>
      <c r="I327" s="8"/>
      <c r="J327" s="8"/>
      <c r="K327" s="8"/>
      <c r="L327" s="8"/>
    </row>
    <row r="328" spans="1:12" hidden="1" x14ac:dyDescent="0.45">
      <c r="A328" s="5"/>
      <c r="B328" s="5" t="s">
        <v>4</v>
      </c>
      <c r="C328" s="22" t="s">
        <v>6</v>
      </c>
      <c r="D328" s="17" t="s">
        <v>7</v>
      </c>
      <c r="E328" s="22" t="s">
        <v>8</v>
      </c>
      <c r="F328" s="5" t="s">
        <v>9</v>
      </c>
      <c r="G328" s="5"/>
      <c r="H328" s="5" t="s">
        <v>14</v>
      </c>
      <c r="I328" s="5"/>
      <c r="J328" s="5"/>
      <c r="K328" s="5"/>
      <c r="L328" s="5"/>
    </row>
    <row r="329" spans="1:12" hidden="1" x14ac:dyDescent="0.45">
      <c r="A329" s="13"/>
      <c r="B329" s="13">
        <v>1</v>
      </c>
      <c r="C329" s="23"/>
      <c r="D329" s="18" t="s">
        <v>138</v>
      </c>
      <c r="E329" s="23"/>
      <c r="F329" s="13">
        <v>4</v>
      </c>
      <c r="G329" s="13" t="s">
        <v>43</v>
      </c>
      <c r="H329" s="13" t="s">
        <v>38</v>
      </c>
      <c r="I329" s="13"/>
      <c r="J329" s="13">
        <v>4</v>
      </c>
      <c r="K329" s="13">
        <f t="shared" ref="K329:K333" si="29">J329*F329</f>
        <v>16</v>
      </c>
      <c r="L329" s="13"/>
    </row>
    <row r="330" spans="1:12" hidden="1" x14ac:dyDescent="0.45">
      <c r="B330" s="4">
        <v>2</v>
      </c>
      <c r="D330" s="10" t="s">
        <v>138</v>
      </c>
      <c r="F330" s="4">
        <v>1</v>
      </c>
      <c r="G330" s="4" t="s">
        <v>33</v>
      </c>
      <c r="K330" s="4">
        <f t="shared" si="29"/>
        <v>0</v>
      </c>
    </row>
    <row r="331" spans="1:12" hidden="1" x14ac:dyDescent="0.45">
      <c r="A331" s="8"/>
      <c r="B331" s="8">
        <v>3</v>
      </c>
      <c r="C331" s="21"/>
      <c r="D331" s="16" t="s">
        <v>138</v>
      </c>
      <c r="E331" s="21"/>
      <c r="F331" s="8">
        <v>1</v>
      </c>
      <c r="G331" s="8" t="s">
        <v>33</v>
      </c>
      <c r="H331" s="8"/>
      <c r="I331" s="8"/>
      <c r="J331" s="8"/>
      <c r="K331" s="8">
        <f t="shared" si="29"/>
        <v>0</v>
      </c>
      <c r="L331" s="8"/>
    </row>
    <row r="332" spans="1:12" hidden="1" x14ac:dyDescent="0.45">
      <c r="A332" s="5"/>
      <c r="B332" s="5">
        <v>4</v>
      </c>
      <c r="C332" s="22"/>
      <c r="D332" s="17" t="s">
        <v>138</v>
      </c>
      <c r="E332" s="22"/>
      <c r="F332" s="5">
        <v>1</v>
      </c>
      <c r="G332" s="5" t="s">
        <v>33</v>
      </c>
      <c r="H332" s="5"/>
      <c r="I332" s="5"/>
      <c r="J332" s="5"/>
      <c r="K332" s="5">
        <f t="shared" si="29"/>
        <v>0</v>
      </c>
      <c r="L332" s="5"/>
    </row>
    <row r="333" spans="1:12" hidden="1" x14ac:dyDescent="0.45">
      <c r="A333" s="13"/>
      <c r="B333" s="13">
        <v>5</v>
      </c>
      <c r="C333" s="23"/>
      <c r="D333" s="18" t="s">
        <v>138</v>
      </c>
      <c r="E333" s="23"/>
      <c r="F333" s="13">
        <v>1</v>
      </c>
      <c r="G333" s="13" t="s">
        <v>33</v>
      </c>
      <c r="H333" s="13"/>
      <c r="I333" s="13"/>
      <c r="J333" s="13"/>
      <c r="K333" s="13">
        <f t="shared" si="29"/>
        <v>0</v>
      </c>
      <c r="L333" s="13"/>
    </row>
    <row r="334" spans="1:12" hidden="1" x14ac:dyDescent="0.45">
      <c r="A334" s="4" t="s">
        <v>0</v>
      </c>
    </row>
    <row r="335" spans="1:12" hidden="1" x14ac:dyDescent="0.45">
      <c r="A335" s="8" t="s">
        <v>1</v>
      </c>
      <c r="B335" s="8"/>
      <c r="C335" s="21"/>
      <c r="D335" s="16"/>
      <c r="E335" s="21"/>
      <c r="F335" s="8"/>
      <c r="G335" s="8"/>
      <c r="H335" s="8"/>
      <c r="I335" s="8"/>
      <c r="J335" s="8"/>
      <c r="K335" s="8"/>
      <c r="L335" s="8"/>
    </row>
    <row r="336" spans="1:12" hidden="1" x14ac:dyDescent="0.45">
      <c r="A336" s="5" t="s">
        <v>128</v>
      </c>
      <c r="B336" s="5"/>
      <c r="C336" s="22"/>
      <c r="D336" s="17"/>
      <c r="E336" s="22"/>
      <c r="F336" s="5"/>
      <c r="G336" s="5"/>
      <c r="H336" s="5"/>
      <c r="I336" s="5"/>
      <c r="J336" s="5"/>
      <c r="K336" s="5"/>
      <c r="L336" s="5"/>
    </row>
    <row r="337" spans="1:12" hidden="1" x14ac:dyDescent="0.45">
      <c r="A337" s="13" t="s">
        <v>139</v>
      </c>
      <c r="B337" s="13"/>
      <c r="C337" s="23"/>
      <c r="D337" s="18"/>
      <c r="E337" s="23"/>
      <c r="F337" s="13"/>
      <c r="G337" s="13"/>
      <c r="H337" s="13"/>
      <c r="I337" s="13"/>
      <c r="J337" s="13"/>
      <c r="K337" s="13"/>
      <c r="L337" s="13"/>
    </row>
    <row r="338" spans="1:12" hidden="1" x14ac:dyDescent="0.45">
      <c r="B338" s="4" t="s">
        <v>4</v>
      </c>
      <c r="C338" s="12" t="s">
        <v>6</v>
      </c>
      <c r="D338" s="10" t="s">
        <v>7</v>
      </c>
      <c r="E338" s="12" t="s">
        <v>8</v>
      </c>
      <c r="F338" s="4" t="s">
        <v>9</v>
      </c>
      <c r="H338" s="4" t="s">
        <v>14</v>
      </c>
    </row>
    <row r="339" spans="1:12" hidden="1" x14ac:dyDescent="0.45">
      <c r="A339" s="8"/>
      <c r="B339" s="8">
        <v>1</v>
      </c>
      <c r="C339" s="21"/>
      <c r="D339" s="16" t="s">
        <v>140</v>
      </c>
      <c r="E339" s="21"/>
      <c r="F339" s="8">
        <v>1</v>
      </c>
      <c r="G339" s="8" t="s">
        <v>33</v>
      </c>
      <c r="H339" s="8"/>
      <c r="I339" s="8"/>
      <c r="J339" s="8"/>
      <c r="K339" s="8">
        <f t="shared" ref="K339:K340" si="30">J339*F339</f>
        <v>0</v>
      </c>
      <c r="L339" s="8"/>
    </row>
    <row r="340" spans="1:12" hidden="1" x14ac:dyDescent="0.45">
      <c r="A340" s="5"/>
      <c r="B340" s="5">
        <v>2</v>
      </c>
      <c r="C340" s="22"/>
      <c r="D340" s="17" t="s">
        <v>140</v>
      </c>
      <c r="E340" s="22"/>
      <c r="F340" s="5">
        <v>1</v>
      </c>
      <c r="G340" s="5" t="s">
        <v>82</v>
      </c>
      <c r="H340" s="5"/>
      <c r="I340" s="5"/>
      <c r="J340" s="5"/>
      <c r="K340" s="5">
        <f t="shared" si="30"/>
        <v>0</v>
      </c>
      <c r="L340" s="5"/>
    </row>
    <row r="341" spans="1:12" hidden="1" x14ac:dyDescent="0.45">
      <c r="A341" s="13" t="s">
        <v>0</v>
      </c>
      <c r="B341" s="13"/>
      <c r="C341" s="23"/>
      <c r="D341" s="18"/>
      <c r="E341" s="23"/>
      <c r="F341" s="13"/>
      <c r="G341" s="13"/>
      <c r="H341" s="13"/>
      <c r="I341" s="13"/>
      <c r="J341" s="13"/>
      <c r="K341" s="13"/>
      <c r="L341" s="13"/>
    </row>
    <row r="342" spans="1:12" hidden="1" x14ac:dyDescent="0.45">
      <c r="A342" s="4" t="s">
        <v>1</v>
      </c>
    </row>
    <row r="343" spans="1:12" hidden="1" x14ac:dyDescent="0.45">
      <c r="A343" s="8" t="s">
        <v>128</v>
      </c>
      <c r="B343" s="8"/>
      <c r="C343" s="21"/>
      <c r="D343" s="16"/>
      <c r="E343" s="21"/>
      <c r="F343" s="8"/>
      <c r="G343" s="8"/>
      <c r="H343" s="8"/>
      <c r="I343" s="8"/>
      <c r="J343" s="8"/>
      <c r="K343" s="8"/>
      <c r="L343" s="8"/>
    </row>
    <row r="344" spans="1:12" hidden="1" x14ac:dyDescent="0.45">
      <c r="A344" s="5" t="s">
        <v>141</v>
      </c>
      <c r="B344" s="5"/>
      <c r="C344" s="22"/>
      <c r="D344" s="17"/>
      <c r="E344" s="22"/>
      <c r="F344" s="5"/>
      <c r="G344" s="5"/>
      <c r="H344" s="5"/>
      <c r="I344" s="5"/>
      <c r="J344" s="5"/>
      <c r="K344" s="5"/>
      <c r="L344" s="5"/>
    </row>
    <row r="345" spans="1:12" hidden="1" x14ac:dyDescent="0.45">
      <c r="A345" s="13"/>
      <c r="B345" s="13" t="s">
        <v>4</v>
      </c>
      <c r="C345" s="23" t="s">
        <v>6</v>
      </c>
      <c r="D345" s="18" t="s">
        <v>7</v>
      </c>
      <c r="E345" s="23" t="s">
        <v>8</v>
      </c>
      <c r="F345" s="13" t="s">
        <v>9</v>
      </c>
      <c r="G345" s="13"/>
      <c r="H345" s="13"/>
      <c r="I345" s="13"/>
      <c r="J345" s="13"/>
      <c r="K345" s="13"/>
      <c r="L345" s="13"/>
    </row>
    <row r="346" spans="1:12" hidden="1" x14ac:dyDescent="0.45">
      <c r="B346" s="4">
        <v>1</v>
      </c>
      <c r="D346" s="10" t="s">
        <v>142</v>
      </c>
      <c r="F346" s="4">
        <v>8</v>
      </c>
      <c r="G346" s="4" t="s">
        <v>43</v>
      </c>
      <c r="K346" s="4">
        <f t="shared" ref="K346:K349" si="31">J346*F346</f>
        <v>0</v>
      </c>
    </row>
    <row r="347" spans="1:12" hidden="1" x14ac:dyDescent="0.45">
      <c r="A347" s="8"/>
      <c r="B347" s="8">
        <v>2</v>
      </c>
      <c r="C347" s="21"/>
      <c r="D347" s="16" t="s">
        <v>142</v>
      </c>
      <c r="E347" s="21"/>
      <c r="F347" s="8">
        <v>1</v>
      </c>
      <c r="G347" s="8" t="s">
        <v>70</v>
      </c>
      <c r="H347" s="8"/>
      <c r="I347" s="8"/>
      <c r="J347" s="8"/>
      <c r="K347" s="8">
        <f t="shared" si="31"/>
        <v>0</v>
      </c>
      <c r="L347" s="8"/>
    </row>
    <row r="348" spans="1:12" hidden="1" x14ac:dyDescent="0.45">
      <c r="A348" s="5"/>
      <c r="B348" s="5">
        <v>3</v>
      </c>
      <c r="C348" s="22"/>
      <c r="D348" s="17" t="s">
        <v>142</v>
      </c>
      <c r="E348" s="22"/>
      <c r="F348" s="5">
        <v>2</v>
      </c>
      <c r="G348" s="5" t="s">
        <v>70</v>
      </c>
      <c r="H348" s="5"/>
      <c r="I348" s="5"/>
      <c r="J348" s="5"/>
      <c r="K348" s="5">
        <f t="shared" si="31"/>
        <v>0</v>
      </c>
      <c r="L348" s="5"/>
    </row>
    <row r="349" spans="1:12" hidden="1" x14ac:dyDescent="0.45">
      <c r="A349" s="13"/>
      <c r="B349" s="13">
        <v>4</v>
      </c>
      <c r="C349" s="23"/>
      <c r="D349" s="18" t="s">
        <v>142</v>
      </c>
      <c r="E349" s="23"/>
      <c r="F349" s="13">
        <v>1</v>
      </c>
      <c r="G349" s="13" t="s">
        <v>70</v>
      </c>
      <c r="H349" s="13"/>
      <c r="I349" s="13"/>
      <c r="J349" s="13"/>
      <c r="K349" s="13">
        <f t="shared" si="31"/>
        <v>0</v>
      </c>
      <c r="L349" s="13"/>
    </row>
    <row r="350" spans="1:12" hidden="1" x14ac:dyDescent="0.45">
      <c r="A350" s="4" t="s">
        <v>0</v>
      </c>
    </row>
    <row r="351" spans="1:12" hidden="1" x14ac:dyDescent="0.45">
      <c r="A351" s="8" t="s">
        <v>1</v>
      </c>
      <c r="B351" s="8"/>
      <c r="C351" s="21"/>
      <c r="D351" s="16"/>
      <c r="E351" s="21"/>
      <c r="F351" s="8"/>
      <c r="G351" s="8"/>
      <c r="H351" s="8"/>
      <c r="I351" s="8"/>
      <c r="J351" s="8"/>
      <c r="K351" s="8"/>
      <c r="L351" s="8"/>
    </row>
    <row r="352" spans="1:12" hidden="1" x14ac:dyDescent="0.45">
      <c r="A352" s="5" t="s">
        <v>128</v>
      </c>
      <c r="B352" s="5"/>
      <c r="C352" s="22"/>
      <c r="D352" s="17"/>
      <c r="E352" s="22"/>
      <c r="F352" s="5"/>
      <c r="G352" s="5"/>
      <c r="H352" s="5"/>
      <c r="I352" s="5"/>
      <c r="J352" s="5"/>
      <c r="K352" s="5"/>
      <c r="L352" s="5"/>
    </row>
    <row r="353" spans="1:12" hidden="1" x14ac:dyDescent="0.45">
      <c r="A353" s="13" t="s">
        <v>143</v>
      </c>
      <c r="B353" s="13"/>
      <c r="C353" s="23"/>
      <c r="D353" s="18"/>
      <c r="E353" s="23"/>
      <c r="F353" s="13"/>
      <c r="G353" s="13"/>
      <c r="H353" s="13"/>
      <c r="I353" s="13"/>
      <c r="J353" s="13"/>
      <c r="K353" s="13"/>
      <c r="L353" s="13"/>
    </row>
    <row r="354" spans="1:12" hidden="1" x14ac:dyDescent="0.45">
      <c r="B354" s="4" t="s">
        <v>4</v>
      </c>
      <c r="C354" s="12" t="s">
        <v>6</v>
      </c>
      <c r="D354" s="10" t="s">
        <v>7</v>
      </c>
      <c r="E354" s="12" t="s">
        <v>8</v>
      </c>
      <c r="F354" s="4" t="s">
        <v>9</v>
      </c>
      <c r="H354" s="4" t="s">
        <v>14</v>
      </c>
    </row>
    <row r="355" spans="1:12" hidden="1" x14ac:dyDescent="0.45">
      <c r="A355" s="8"/>
      <c r="B355" s="8">
        <v>1</v>
      </c>
      <c r="C355" s="21"/>
      <c r="D355" s="16" t="s">
        <v>144</v>
      </c>
      <c r="E355" s="21"/>
      <c r="F355" s="8">
        <v>4</v>
      </c>
      <c r="G355" s="8" t="s">
        <v>43</v>
      </c>
      <c r="H355" s="8" t="s">
        <v>38</v>
      </c>
      <c r="I355" s="8"/>
      <c r="J355" s="8">
        <v>0.4</v>
      </c>
      <c r="K355" s="8">
        <f t="shared" ref="K355:K358" si="32">J355*F355</f>
        <v>1.6</v>
      </c>
      <c r="L355" s="8"/>
    </row>
    <row r="356" spans="1:12" hidden="1" x14ac:dyDescent="0.45">
      <c r="A356" s="5"/>
      <c r="B356" s="5">
        <v>2</v>
      </c>
      <c r="C356" s="22"/>
      <c r="D356" s="17" t="s">
        <v>144</v>
      </c>
      <c r="E356" s="22"/>
      <c r="F356" s="5">
        <v>1</v>
      </c>
      <c r="G356" s="5" t="s">
        <v>33</v>
      </c>
      <c r="H356" s="5"/>
      <c r="I356" s="5"/>
      <c r="J356" s="5"/>
      <c r="K356" s="5">
        <f t="shared" si="32"/>
        <v>0</v>
      </c>
      <c r="L356" s="5"/>
    </row>
    <row r="357" spans="1:12" hidden="1" x14ac:dyDescent="0.45">
      <c r="A357" s="13"/>
      <c r="B357" s="13">
        <v>3</v>
      </c>
      <c r="C357" s="23"/>
      <c r="D357" s="18" t="s">
        <v>144</v>
      </c>
      <c r="E357" s="23"/>
      <c r="F357" s="13">
        <v>1</v>
      </c>
      <c r="G357" s="13" t="s">
        <v>33</v>
      </c>
      <c r="H357" s="13"/>
      <c r="I357" s="13"/>
      <c r="J357" s="13"/>
      <c r="K357" s="13">
        <f t="shared" si="32"/>
        <v>0</v>
      </c>
      <c r="L357" s="13"/>
    </row>
    <row r="358" spans="1:12" hidden="1" x14ac:dyDescent="0.45">
      <c r="B358" s="4">
        <v>4</v>
      </c>
      <c r="D358" s="10" t="s">
        <v>144</v>
      </c>
      <c r="F358" s="4">
        <v>2</v>
      </c>
      <c r="G358" s="4" t="s">
        <v>33</v>
      </c>
      <c r="K358" s="4">
        <f t="shared" si="32"/>
        <v>0</v>
      </c>
    </row>
    <row r="359" spans="1:12" hidden="1" x14ac:dyDescent="0.45">
      <c r="A359" s="8" t="s">
        <v>145</v>
      </c>
      <c r="B359" s="8"/>
      <c r="C359" s="21"/>
      <c r="D359" s="16"/>
      <c r="E359" s="21"/>
      <c r="F359" s="8"/>
      <c r="G359" s="8"/>
      <c r="H359" s="8"/>
      <c r="I359" s="8"/>
      <c r="J359" s="8"/>
      <c r="K359" s="8"/>
      <c r="L359" s="8"/>
    </row>
    <row r="360" spans="1:12" hidden="1" x14ac:dyDescent="0.45">
      <c r="A360" s="5" t="s">
        <v>145</v>
      </c>
      <c r="B360" s="5"/>
      <c r="C360" s="22"/>
      <c r="D360" s="17"/>
      <c r="E360" s="22"/>
      <c r="F360" s="5"/>
      <c r="G360" s="5"/>
      <c r="H360" s="5"/>
      <c r="I360" s="5"/>
      <c r="J360" s="5"/>
      <c r="K360" s="5"/>
      <c r="L360" s="5"/>
    </row>
    <row r="361" spans="1:12" hidden="1" x14ac:dyDescent="0.45">
      <c r="A361" s="13" t="s">
        <v>145</v>
      </c>
      <c r="B361" s="13"/>
      <c r="C361" s="23"/>
      <c r="D361" s="18"/>
      <c r="E361" s="23"/>
      <c r="F361" s="13"/>
      <c r="G361" s="13"/>
      <c r="H361" s="13"/>
      <c r="I361" s="13"/>
      <c r="J361" s="13"/>
      <c r="K361" s="13"/>
      <c r="L361" s="13"/>
    </row>
    <row r="362" spans="1:12" hidden="1" x14ac:dyDescent="0.45">
      <c r="A362" s="4" t="s">
        <v>0</v>
      </c>
    </row>
    <row r="363" spans="1:12" hidden="1" x14ac:dyDescent="0.45">
      <c r="A363" s="8" t="s">
        <v>1</v>
      </c>
      <c r="B363" s="8"/>
      <c r="C363" s="21"/>
      <c r="D363" s="16"/>
      <c r="E363" s="21"/>
      <c r="F363" s="8"/>
      <c r="G363" s="8"/>
      <c r="H363" s="8"/>
      <c r="I363" s="8"/>
      <c r="J363" s="8"/>
      <c r="K363" s="8"/>
      <c r="L363" s="8"/>
    </row>
    <row r="364" spans="1:12" hidden="1" x14ac:dyDescent="0.45">
      <c r="A364" s="5" t="s">
        <v>146</v>
      </c>
      <c r="B364" s="5"/>
      <c r="C364" s="22"/>
      <c r="D364" s="17"/>
      <c r="E364" s="22"/>
      <c r="F364" s="5"/>
      <c r="G364" s="5"/>
      <c r="H364" s="5"/>
      <c r="I364" s="5"/>
      <c r="J364" s="5"/>
      <c r="K364" s="5"/>
      <c r="L364" s="5"/>
    </row>
    <row r="365" spans="1:12" hidden="1" x14ac:dyDescent="0.45">
      <c r="A365" s="13" t="s">
        <v>147</v>
      </c>
      <c r="B365" s="13"/>
      <c r="C365" s="23"/>
      <c r="D365" s="18"/>
      <c r="E365" s="23"/>
      <c r="F365" s="13"/>
      <c r="G365" s="13"/>
      <c r="H365" s="13"/>
      <c r="I365" s="13"/>
      <c r="J365" s="13"/>
      <c r="K365" s="13"/>
      <c r="L365" s="13"/>
    </row>
    <row r="366" spans="1:12" hidden="1" x14ac:dyDescent="0.45">
      <c r="B366" s="4" t="s">
        <v>4</v>
      </c>
      <c r="C366" s="12" t="s">
        <v>6</v>
      </c>
      <c r="D366" s="10" t="s">
        <v>7</v>
      </c>
      <c r="E366" s="12" t="s">
        <v>8</v>
      </c>
      <c r="F366" s="4" t="s">
        <v>9</v>
      </c>
      <c r="H366" s="4" t="s">
        <v>14</v>
      </c>
      <c r="K366" s="4" t="s">
        <v>13</v>
      </c>
    </row>
    <row r="367" spans="1:12" hidden="1" x14ac:dyDescent="0.45">
      <c r="A367" s="8"/>
      <c r="B367" s="8">
        <v>1</v>
      </c>
      <c r="C367" s="21"/>
      <c r="D367" s="16" t="s">
        <v>148</v>
      </c>
      <c r="E367" s="21"/>
      <c r="F367" s="8">
        <v>2</v>
      </c>
      <c r="G367" s="8" t="s">
        <v>31</v>
      </c>
      <c r="H367" s="8"/>
      <c r="I367" s="8"/>
      <c r="J367" s="8"/>
      <c r="K367" s="8"/>
      <c r="L367" s="8"/>
    </row>
    <row r="368" spans="1:12" hidden="1" x14ac:dyDescent="0.45">
      <c r="A368" s="5"/>
      <c r="B368" s="5">
        <v>2</v>
      </c>
      <c r="C368" s="22"/>
      <c r="D368" s="17" t="s">
        <v>148</v>
      </c>
      <c r="E368" s="22"/>
      <c r="F368" s="5">
        <v>1</v>
      </c>
      <c r="G368" s="5" t="s">
        <v>134</v>
      </c>
      <c r="H368" s="5"/>
      <c r="I368" s="5"/>
      <c r="J368" s="5"/>
      <c r="K368" s="5" t="s">
        <v>20</v>
      </c>
      <c r="L368" s="5"/>
    </row>
    <row r="369" spans="1:12" hidden="1" x14ac:dyDescent="0.45">
      <c r="A369" s="13"/>
      <c r="B369" s="13">
        <v>3</v>
      </c>
      <c r="C369" s="23"/>
      <c r="D369" s="18" t="s">
        <v>148</v>
      </c>
      <c r="E369" s="23"/>
      <c r="F369" s="13">
        <v>2</v>
      </c>
      <c r="G369" s="13" t="s">
        <v>149</v>
      </c>
      <c r="H369" s="13"/>
      <c r="I369" s="13"/>
      <c r="J369" s="13"/>
      <c r="K369" s="13" t="s">
        <v>20</v>
      </c>
      <c r="L369" s="13"/>
    </row>
    <row r="370" spans="1:12" hidden="1" x14ac:dyDescent="0.45">
      <c r="B370" s="4">
        <v>4</v>
      </c>
      <c r="D370" s="10" t="s">
        <v>148</v>
      </c>
      <c r="F370" s="4">
        <v>1</v>
      </c>
      <c r="G370" s="4" t="s">
        <v>150</v>
      </c>
    </row>
    <row r="371" spans="1:12" hidden="1" x14ac:dyDescent="0.45">
      <c r="A371" s="8"/>
      <c r="B371" s="8">
        <v>5</v>
      </c>
      <c r="C371" s="21"/>
      <c r="D371" s="16" t="s">
        <v>148</v>
      </c>
      <c r="E371" s="21"/>
      <c r="F371" s="8">
        <v>16</v>
      </c>
      <c r="G371" s="8"/>
      <c r="H371" s="8"/>
      <c r="I371" s="8"/>
      <c r="J371" s="8">
        <v>3.7</v>
      </c>
      <c r="K371" s="8" t="s">
        <v>20</v>
      </c>
      <c r="L371" s="8" t="s">
        <v>28</v>
      </c>
    </row>
    <row r="372" spans="1:12" hidden="1" x14ac:dyDescent="0.45">
      <c r="A372" s="5"/>
      <c r="B372" s="5">
        <v>6</v>
      </c>
      <c r="C372" s="22"/>
      <c r="D372" s="17" t="s">
        <v>148</v>
      </c>
      <c r="E372" s="22"/>
      <c r="F372" s="5">
        <v>2</v>
      </c>
      <c r="G372" s="5" t="s">
        <v>33</v>
      </c>
      <c r="H372" s="5"/>
      <c r="I372" s="5"/>
      <c r="J372" s="5">
        <v>64</v>
      </c>
      <c r="K372" s="5">
        <f t="shared" ref="K372:K373" si="33">J372*F372</f>
        <v>128</v>
      </c>
      <c r="L372" s="5"/>
    </row>
    <row r="373" spans="1:12" hidden="1" x14ac:dyDescent="0.45">
      <c r="A373" s="13"/>
      <c r="B373" s="13">
        <v>7</v>
      </c>
      <c r="C373" s="23"/>
      <c r="D373" s="18" t="s">
        <v>148</v>
      </c>
      <c r="E373" s="23"/>
      <c r="F373" s="13">
        <v>2</v>
      </c>
      <c r="G373" s="13" t="s">
        <v>33</v>
      </c>
      <c r="H373" s="13"/>
      <c r="I373" s="13"/>
      <c r="J373" s="13"/>
      <c r="K373" s="13">
        <f t="shared" si="33"/>
        <v>0</v>
      </c>
      <c r="L373" s="13"/>
    </row>
    <row r="374" spans="1:12" hidden="1" x14ac:dyDescent="0.45">
      <c r="B374" s="4">
        <v>8</v>
      </c>
      <c r="D374" s="10" t="s">
        <v>148</v>
      </c>
      <c r="F374" s="4">
        <v>3</v>
      </c>
      <c r="G374" s="4" t="s">
        <v>35</v>
      </c>
    </row>
    <row r="375" spans="1:12" hidden="1" x14ac:dyDescent="0.45">
      <c r="A375" s="8"/>
      <c r="B375" s="8">
        <v>9</v>
      </c>
      <c r="C375" s="21"/>
      <c r="D375" s="16" t="s">
        <v>148</v>
      </c>
      <c r="E375" s="21"/>
      <c r="F375" s="8">
        <v>3</v>
      </c>
      <c r="G375" s="8" t="s">
        <v>36</v>
      </c>
      <c r="H375" s="8"/>
      <c r="I375" s="8"/>
      <c r="J375" s="8"/>
      <c r="K375" s="8"/>
      <c r="L375" s="8"/>
    </row>
    <row r="376" spans="1:12" hidden="1" x14ac:dyDescent="0.45">
      <c r="A376" s="5"/>
      <c r="B376" s="5">
        <v>10</v>
      </c>
      <c r="C376" s="22">
        <v>4</v>
      </c>
      <c r="D376" s="17" t="s">
        <v>148</v>
      </c>
      <c r="E376" s="22" t="s">
        <v>17</v>
      </c>
      <c r="F376" s="5">
        <v>1</v>
      </c>
      <c r="G376" s="5" t="s">
        <v>23</v>
      </c>
      <c r="H376" s="5"/>
      <c r="I376" s="5"/>
      <c r="J376" s="5"/>
      <c r="K376" s="5"/>
      <c r="L376" s="5"/>
    </row>
    <row r="377" spans="1:12" hidden="1" x14ac:dyDescent="0.45">
      <c r="A377" s="13"/>
      <c r="B377" s="13">
        <v>11</v>
      </c>
      <c r="C377" s="23">
        <v>4</v>
      </c>
      <c r="D377" s="18" t="s">
        <v>148</v>
      </c>
      <c r="E377" s="23" t="s">
        <v>17</v>
      </c>
      <c r="F377" s="13">
        <v>2</v>
      </c>
      <c r="G377" s="13" t="s">
        <v>23</v>
      </c>
      <c r="H377" s="13"/>
      <c r="I377" s="13"/>
      <c r="J377" s="13"/>
      <c r="K377" s="13"/>
      <c r="L377" s="13"/>
    </row>
    <row r="378" spans="1:12" hidden="1" x14ac:dyDescent="0.45">
      <c r="B378" s="4">
        <v>12</v>
      </c>
      <c r="C378" s="12">
        <v>4</v>
      </c>
      <c r="D378" s="10" t="s">
        <v>148</v>
      </c>
      <c r="E378" s="12" t="s">
        <v>17</v>
      </c>
      <c r="F378" s="4">
        <v>2</v>
      </c>
      <c r="G378" s="4" t="s">
        <v>23</v>
      </c>
    </row>
    <row r="379" spans="1:12" hidden="1" x14ac:dyDescent="0.45">
      <c r="A379" s="8"/>
      <c r="B379" s="8">
        <v>13</v>
      </c>
      <c r="C379" s="21">
        <v>4</v>
      </c>
      <c r="D379" s="16" t="s">
        <v>148</v>
      </c>
      <c r="E379" s="21" t="s">
        <v>17</v>
      </c>
      <c r="F379" s="8">
        <v>4</v>
      </c>
      <c r="G379" s="8" t="s">
        <v>23</v>
      </c>
      <c r="H379" s="8"/>
      <c r="I379" s="8"/>
      <c r="J379" s="8" t="s">
        <v>7</v>
      </c>
      <c r="K379" s="8"/>
      <c r="L379" s="8"/>
    </row>
    <row r="380" spans="1:12" hidden="1" x14ac:dyDescent="0.45">
      <c r="A380" s="5"/>
      <c r="B380" s="5">
        <v>14</v>
      </c>
      <c r="C380" s="22">
        <v>4</v>
      </c>
      <c r="D380" s="17" t="s">
        <v>148</v>
      </c>
      <c r="E380" s="22" t="s">
        <v>17</v>
      </c>
      <c r="F380" s="5">
        <v>2</v>
      </c>
      <c r="G380" s="5"/>
      <c r="H380" s="5" t="s">
        <v>119</v>
      </c>
      <c r="I380" s="5"/>
      <c r="J380" s="5"/>
      <c r="K380" s="5"/>
      <c r="L380" s="5"/>
    </row>
    <row r="381" spans="1:12" hidden="1" x14ac:dyDescent="0.45">
      <c r="A381" s="13" t="s">
        <v>0</v>
      </c>
      <c r="B381" s="13"/>
      <c r="C381" s="23"/>
      <c r="D381" s="18"/>
      <c r="E381" s="23"/>
      <c r="F381" s="13"/>
      <c r="G381" s="13"/>
      <c r="H381" s="13"/>
      <c r="I381" s="13"/>
      <c r="J381" s="13"/>
      <c r="K381" s="13"/>
      <c r="L381" s="13"/>
    </row>
    <row r="382" spans="1:12" hidden="1" x14ac:dyDescent="0.45">
      <c r="A382" s="4" t="s">
        <v>1</v>
      </c>
    </row>
    <row r="383" spans="1:12" hidden="1" x14ac:dyDescent="0.45">
      <c r="A383" s="8" t="s">
        <v>146</v>
      </c>
      <c r="B383" s="8"/>
      <c r="C383" s="21"/>
      <c r="D383" s="16"/>
      <c r="E383" s="21"/>
      <c r="F383" s="8"/>
      <c r="G383" s="8"/>
      <c r="H383" s="8"/>
      <c r="I383" s="8"/>
      <c r="J383" s="8"/>
      <c r="K383" s="8"/>
      <c r="L383" s="8"/>
    </row>
    <row r="384" spans="1:12" hidden="1" x14ac:dyDescent="0.45">
      <c r="A384" s="5" t="s">
        <v>151</v>
      </c>
      <c r="B384" s="5"/>
      <c r="C384" s="22"/>
      <c r="D384" s="17"/>
      <c r="E384" s="22"/>
      <c r="F384" s="5"/>
      <c r="G384" s="5"/>
      <c r="H384" s="5"/>
      <c r="I384" s="5"/>
      <c r="J384" s="5"/>
      <c r="K384" s="5"/>
      <c r="L384" s="5"/>
    </row>
    <row r="385" spans="1:12" hidden="1" x14ac:dyDescent="0.45">
      <c r="A385" s="13"/>
      <c r="B385" s="13" t="s">
        <v>4</v>
      </c>
      <c r="C385" s="23" t="s">
        <v>6</v>
      </c>
      <c r="D385" s="18" t="s">
        <v>7</v>
      </c>
      <c r="E385" s="23" t="s">
        <v>8</v>
      </c>
      <c r="F385" s="13" t="s">
        <v>9</v>
      </c>
      <c r="G385" s="13"/>
      <c r="H385" s="13" t="s">
        <v>14</v>
      </c>
      <c r="I385" s="13"/>
      <c r="J385" s="13"/>
      <c r="K385" s="13" t="s">
        <v>13</v>
      </c>
      <c r="L385" s="13"/>
    </row>
    <row r="386" spans="1:12" hidden="1" x14ac:dyDescent="0.45">
      <c r="B386" s="4">
        <v>1</v>
      </c>
      <c r="D386" s="10" t="s">
        <v>152</v>
      </c>
      <c r="F386" s="4">
        <v>16</v>
      </c>
      <c r="J386" s="4">
        <v>28.3</v>
      </c>
    </row>
    <row r="387" spans="1:12" hidden="1" x14ac:dyDescent="0.45">
      <c r="A387" s="8"/>
      <c r="B387" s="8">
        <v>2</v>
      </c>
      <c r="C387" s="21"/>
      <c r="D387" s="16" t="s">
        <v>152</v>
      </c>
      <c r="E387" s="21"/>
      <c r="F387" s="8">
        <v>6</v>
      </c>
      <c r="G387" s="8" t="s">
        <v>51</v>
      </c>
      <c r="H387" s="8"/>
      <c r="I387" s="8"/>
      <c r="J387" s="8"/>
      <c r="K387" s="8"/>
      <c r="L387" s="8"/>
    </row>
    <row r="388" spans="1:12" hidden="1" x14ac:dyDescent="0.45">
      <c r="A388" s="5"/>
      <c r="B388" s="5">
        <v>3</v>
      </c>
      <c r="C388" s="22"/>
      <c r="D388" s="17" t="s">
        <v>152</v>
      </c>
      <c r="E388" s="22"/>
      <c r="F388" s="5">
        <v>4</v>
      </c>
      <c r="G388" s="5" t="s">
        <v>50</v>
      </c>
      <c r="H388" s="5"/>
      <c r="I388" s="5"/>
      <c r="J388" s="5"/>
      <c r="K388" s="5"/>
      <c r="L388" s="5"/>
    </row>
    <row r="389" spans="1:12" hidden="1" x14ac:dyDescent="0.45">
      <c r="A389" s="13"/>
      <c r="B389" s="13">
        <v>4</v>
      </c>
      <c r="C389" s="23"/>
      <c r="D389" s="18" t="s">
        <v>152</v>
      </c>
      <c r="E389" s="23"/>
      <c r="F389" s="13">
        <v>1</v>
      </c>
      <c r="G389" s="13" t="s">
        <v>476</v>
      </c>
      <c r="H389" s="13" t="s">
        <v>38</v>
      </c>
      <c r="I389" s="13" t="s">
        <v>102</v>
      </c>
      <c r="J389" s="13"/>
      <c r="K389" s="13">
        <f t="shared" ref="K389:K393" si="34">J389*F389</f>
        <v>0</v>
      </c>
      <c r="L389" s="13"/>
    </row>
    <row r="390" spans="1:12" hidden="1" x14ac:dyDescent="0.45">
      <c r="B390" s="4">
        <v>5</v>
      </c>
      <c r="D390" s="10" t="s">
        <v>152</v>
      </c>
      <c r="F390" s="4">
        <v>2</v>
      </c>
      <c r="G390" s="4" t="s">
        <v>476</v>
      </c>
      <c r="H390" s="4" t="s">
        <v>38</v>
      </c>
      <c r="I390" s="4" t="s">
        <v>101</v>
      </c>
      <c r="K390" s="4">
        <f t="shared" si="34"/>
        <v>0</v>
      </c>
    </row>
    <row r="391" spans="1:12" hidden="1" x14ac:dyDescent="0.45">
      <c r="A391" s="8"/>
      <c r="B391" s="8">
        <v>6</v>
      </c>
      <c r="C391" s="21"/>
      <c r="D391" s="16" t="s">
        <v>152</v>
      </c>
      <c r="E391" s="21"/>
      <c r="F391" s="8">
        <v>1</v>
      </c>
      <c r="G391" s="8" t="s">
        <v>476</v>
      </c>
      <c r="H391" s="8" t="s">
        <v>38</v>
      </c>
      <c r="I391" s="8" t="s">
        <v>102</v>
      </c>
      <c r="J391" s="8"/>
      <c r="K391" s="8">
        <f t="shared" si="34"/>
        <v>0</v>
      </c>
      <c r="L391" s="8"/>
    </row>
    <row r="392" spans="1:12" hidden="1" x14ac:dyDescent="0.45">
      <c r="A392" s="5"/>
      <c r="B392" s="5">
        <v>7</v>
      </c>
      <c r="C392" s="22"/>
      <c r="D392" s="17" t="s">
        <v>152</v>
      </c>
      <c r="E392" s="22"/>
      <c r="F392" s="5">
        <v>1</v>
      </c>
      <c r="G392" s="5" t="s">
        <v>476</v>
      </c>
      <c r="H392" s="5" t="s">
        <v>38</v>
      </c>
      <c r="I392" s="5" t="s">
        <v>153</v>
      </c>
      <c r="J392" s="5"/>
      <c r="K392" s="5">
        <f t="shared" si="34"/>
        <v>0</v>
      </c>
      <c r="L392" s="5"/>
    </row>
    <row r="393" spans="1:12" x14ac:dyDescent="0.45">
      <c r="A393" s="13"/>
      <c r="B393" s="13">
        <v>8</v>
      </c>
      <c r="C393" s="23"/>
      <c r="D393" s="18" t="s">
        <v>152</v>
      </c>
      <c r="E393" s="23"/>
      <c r="F393" s="13">
        <v>4</v>
      </c>
      <c r="G393" s="13" t="s">
        <v>53</v>
      </c>
      <c r="H393" s="13"/>
      <c r="I393" s="13">
        <v>3251</v>
      </c>
      <c r="J393" s="13">
        <v>29.2</v>
      </c>
      <c r="K393" s="13">
        <f t="shared" si="34"/>
        <v>116.8</v>
      </c>
      <c r="L393" s="13"/>
    </row>
    <row r="394" spans="1:12" hidden="1" x14ac:dyDescent="0.45">
      <c r="A394" s="4" t="s">
        <v>0</v>
      </c>
    </row>
    <row r="395" spans="1:12" hidden="1" x14ac:dyDescent="0.45">
      <c r="A395" s="8" t="s">
        <v>1</v>
      </c>
      <c r="B395" s="8"/>
      <c r="C395" s="21"/>
      <c r="D395" s="16"/>
      <c r="E395" s="21"/>
      <c r="F395" s="8"/>
      <c r="G395" s="8"/>
      <c r="H395" s="8"/>
      <c r="I395" s="8"/>
      <c r="J395" s="8"/>
      <c r="K395" s="8"/>
      <c r="L395" s="8"/>
    </row>
    <row r="396" spans="1:12" hidden="1" x14ac:dyDescent="0.45">
      <c r="A396" s="5" t="s">
        <v>154</v>
      </c>
      <c r="B396" s="5"/>
      <c r="C396" s="22"/>
      <c r="D396" s="17"/>
      <c r="E396" s="22"/>
      <c r="F396" s="5"/>
      <c r="G396" s="5"/>
      <c r="H396" s="5"/>
      <c r="I396" s="5"/>
      <c r="J396" s="5"/>
      <c r="K396" s="5"/>
      <c r="L396" s="5"/>
    </row>
    <row r="397" spans="1:12" hidden="1" x14ac:dyDescent="0.45">
      <c r="A397" s="13" t="s">
        <v>155</v>
      </c>
      <c r="B397" s="13"/>
      <c r="C397" s="23"/>
      <c r="D397" s="18"/>
      <c r="E397" s="23"/>
      <c r="F397" s="13"/>
      <c r="G397" s="13"/>
      <c r="H397" s="13"/>
      <c r="I397" s="13"/>
      <c r="J397" s="13"/>
      <c r="K397" s="13"/>
      <c r="L397" s="13"/>
    </row>
    <row r="398" spans="1:12" hidden="1" x14ac:dyDescent="0.45">
      <c r="B398" s="4" t="s">
        <v>4</v>
      </c>
      <c r="C398" s="12" t="s">
        <v>6</v>
      </c>
      <c r="D398" s="10" t="s">
        <v>7</v>
      </c>
      <c r="E398" s="12" t="s">
        <v>8</v>
      </c>
      <c r="F398" s="4" t="s">
        <v>9</v>
      </c>
      <c r="I398" s="4" t="s">
        <v>7</v>
      </c>
      <c r="K398" s="4" t="s">
        <v>15</v>
      </c>
    </row>
    <row r="399" spans="1:12" hidden="1" x14ac:dyDescent="0.45">
      <c r="A399" s="8"/>
      <c r="B399" s="8">
        <v>1</v>
      </c>
      <c r="C399" s="21"/>
      <c r="D399" s="16" t="s">
        <v>156</v>
      </c>
      <c r="E399" s="21"/>
      <c r="F399" s="8">
        <v>1</v>
      </c>
      <c r="G399" s="8" t="s">
        <v>157</v>
      </c>
      <c r="H399" s="8"/>
      <c r="I399" s="8"/>
      <c r="J399" s="8" t="s">
        <v>7</v>
      </c>
      <c r="K399" s="8"/>
      <c r="L399" s="8"/>
    </row>
    <row r="400" spans="1:12" hidden="1" x14ac:dyDescent="0.45">
      <c r="A400" s="5"/>
      <c r="B400" s="5">
        <v>2</v>
      </c>
      <c r="C400" s="22"/>
      <c r="D400" s="17" t="s">
        <v>156</v>
      </c>
      <c r="E400" s="22"/>
      <c r="F400" s="5">
        <v>4</v>
      </c>
      <c r="G400" s="5" t="s">
        <v>27</v>
      </c>
      <c r="H400" s="5"/>
      <c r="I400" s="5"/>
      <c r="J400" s="5"/>
      <c r="K400" s="5"/>
      <c r="L400" s="5"/>
    </row>
    <row r="401" spans="1:12" hidden="1" x14ac:dyDescent="0.45">
      <c r="A401" s="13"/>
      <c r="B401" s="13">
        <v>3</v>
      </c>
      <c r="C401" s="23"/>
      <c r="D401" s="18" t="s">
        <v>156</v>
      </c>
      <c r="E401" s="23"/>
      <c r="F401" s="13">
        <v>4</v>
      </c>
      <c r="G401" s="13" t="s">
        <v>94</v>
      </c>
      <c r="H401" s="13">
        <v>31.2</v>
      </c>
      <c r="I401" s="13">
        <v>1770</v>
      </c>
      <c r="J401" s="13" t="s">
        <v>7</v>
      </c>
      <c r="K401" s="13"/>
      <c r="L401" s="13"/>
    </row>
    <row r="402" spans="1:12" hidden="1" x14ac:dyDescent="0.45">
      <c r="B402" s="4">
        <v>4</v>
      </c>
      <c r="D402" s="10" t="s">
        <v>156</v>
      </c>
      <c r="F402" s="4">
        <v>1</v>
      </c>
      <c r="G402" s="4" t="s">
        <v>149</v>
      </c>
    </row>
    <row r="403" spans="1:12" hidden="1" x14ac:dyDescent="0.45">
      <c r="A403" s="8"/>
      <c r="B403" s="8">
        <v>5</v>
      </c>
      <c r="C403" s="21"/>
      <c r="D403" s="16" t="s">
        <v>156</v>
      </c>
      <c r="E403" s="21"/>
      <c r="F403" s="8">
        <v>3</v>
      </c>
      <c r="G403" s="8" t="s">
        <v>158</v>
      </c>
      <c r="H403" s="8"/>
      <c r="I403" s="8" t="s">
        <v>20</v>
      </c>
      <c r="J403" s="8"/>
      <c r="K403" s="8"/>
      <c r="L403" s="8"/>
    </row>
    <row r="404" spans="1:12" hidden="1" x14ac:dyDescent="0.45">
      <c r="A404" s="5"/>
      <c r="B404" s="5">
        <v>6</v>
      </c>
      <c r="C404" s="22"/>
      <c r="D404" s="17" t="s">
        <v>156</v>
      </c>
      <c r="E404" s="22"/>
      <c r="F404" s="5">
        <v>1</v>
      </c>
      <c r="G404" s="5" t="s">
        <v>159</v>
      </c>
      <c r="H404" s="5"/>
      <c r="I404" s="5"/>
      <c r="J404" s="5"/>
      <c r="K404" s="5"/>
      <c r="L404" s="5"/>
    </row>
    <row r="405" spans="1:12" hidden="1" x14ac:dyDescent="0.45">
      <c r="A405" s="13"/>
      <c r="B405" s="13">
        <v>7</v>
      </c>
      <c r="C405" s="23"/>
      <c r="D405" s="18" t="s">
        <v>156</v>
      </c>
      <c r="E405" s="23"/>
      <c r="F405" s="13">
        <v>2</v>
      </c>
      <c r="G405" s="13" t="s">
        <v>476</v>
      </c>
      <c r="H405" s="13">
        <v>9.1999999999999993</v>
      </c>
      <c r="I405" s="13" t="s">
        <v>160</v>
      </c>
      <c r="J405" s="13"/>
      <c r="K405" s="13">
        <f t="shared" ref="K405:K407" si="35">J405*F405</f>
        <v>0</v>
      </c>
      <c r="L405" s="13"/>
    </row>
    <row r="406" spans="1:12" x14ac:dyDescent="0.45">
      <c r="B406" s="4">
        <v>8</v>
      </c>
      <c r="D406" s="10" t="s">
        <v>156</v>
      </c>
      <c r="F406" s="4">
        <v>2</v>
      </c>
      <c r="G406" s="4" t="s">
        <v>481</v>
      </c>
      <c r="I406" s="4">
        <v>1727</v>
      </c>
      <c r="J406" s="4">
        <v>18.600000000000001</v>
      </c>
      <c r="K406" s="4">
        <f t="shared" si="35"/>
        <v>37.200000000000003</v>
      </c>
    </row>
    <row r="407" spans="1:12" x14ac:dyDescent="0.45">
      <c r="A407" s="8"/>
      <c r="B407" s="8">
        <v>9</v>
      </c>
      <c r="C407" s="21"/>
      <c r="D407" s="16" t="s">
        <v>156</v>
      </c>
      <c r="E407" s="21"/>
      <c r="F407" s="8">
        <v>1</v>
      </c>
      <c r="G407" s="8" t="s">
        <v>481</v>
      </c>
      <c r="H407" s="8"/>
      <c r="I407" s="8">
        <v>1710</v>
      </c>
      <c r="J407" s="8">
        <v>17.899999999999999</v>
      </c>
      <c r="K407" s="8">
        <f t="shared" si="35"/>
        <v>17.899999999999999</v>
      </c>
      <c r="L407" s="8"/>
    </row>
    <row r="408" spans="1:12" hidden="1" x14ac:dyDescent="0.45">
      <c r="A408" s="5"/>
      <c r="B408" s="5">
        <v>10</v>
      </c>
      <c r="C408" s="22">
        <v>4</v>
      </c>
      <c r="D408" s="17" t="s">
        <v>156</v>
      </c>
      <c r="E408" s="22" t="s">
        <v>17</v>
      </c>
      <c r="F408" s="5"/>
      <c r="G408" s="5"/>
      <c r="H408" s="5"/>
      <c r="I408" s="5"/>
      <c r="J408" s="5"/>
      <c r="K408" s="5"/>
      <c r="L408" s="5"/>
    </row>
    <row r="409" spans="1:12" hidden="1" x14ac:dyDescent="0.45">
      <c r="A409" s="13"/>
      <c r="B409" s="13">
        <v>11</v>
      </c>
      <c r="C409" s="23">
        <v>4</v>
      </c>
      <c r="D409" s="18" t="s">
        <v>156</v>
      </c>
      <c r="E409" s="23" t="s">
        <v>17</v>
      </c>
      <c r="F409" s="13"/>
      <c r="G409" s="13"/>
      <c r="H409" s="13"/>
      <c r="I409" s="13"/>
      <c r="J409" s="13"/>
      <c r="K409" s="13"/>
      <c r="L409" s="13"/>
    </row>
    <row r="410" spans="1:12" hidden="1" x14ac:dyDescent="0.45">
      <c r="A410" s="4" t="s">
        <v>0</v>
      </c>
    </row>
    <row r="411" spans="1:12" hidden="1" x14ac:dyDescent="0.45">
      <c r="A411" s="8" t="s">
        <v>1</v>
      </c>
      <c r="B411" s="8"/>
      <c r="C411" s="21"/>
      <c r="D411" s="16"/>
      <c r="E411" s="21"/>
      <c r="F411" s="8"/>
      <c r="G411" s="8"/>
      <c r="H411" s="8"/>
      <c r="I411" s="8"/>
      <c r="J411" s="8"/>
      <c r="K411" s="8"/>
      <c r="L411" s="8"/>
    </row>
    <row r="412" spans="1:12" hidden="1" x14ac:dyDescent="0.45">
      <c r="A412" s="5" t="s">
        <v>154</v>
      </c>
      <c r="B412" s="5"/>
      <c r="C412" s="22"/>
      <c r="D412" s="17"/>
      <c r="E412" s="22"/>
      <c r="F412" s="5"/>
      <c r="G412" s="5"/>
      <c r="H412" s="5"/>
      <c r="I412" s="5"/>
      <c r="J412" s="5"/>
      <c r="K412" s="5"/>
      <c r="L412" s="5"/>
    </row>
    <row r="413" spans="1:12" hidden="1" x14ac:dyDescent="0.45">
      <c r="A413" s="13" t="s">
        <v>161</v>
      </c>
      <c r="B413" s="13"/>
      <c r="C413" s="23"/>
      <c r="D413" s="18"/>
      <c r="E413" s="23"/>
      <c r="F413" s="13"/>
      <c r="G413" s="13"/>
      <c r="H413" s="13"/>
      <c r="I413" s="13"/>
      <c r="J413" s="13"/>
      <c r="K413" s="13"/>
      <c r="L413" s="13"/>
    </row>
    <row r="414" spans="1:12" hidden="1" x14ac:dyDescent="0.45">
      <c r="B414" s="4" t="s">
        <v>4</v>
      </c>
      <c r="C414" s="12" t="s">
        <v>6</v>
      </c>
      <c r="D414" s="10" t="s">
        <v>7</v>
      </c>
      <c r="E414" s="12" t="s">
        <v>8</v>
      </c>
      <c r="F414" s="4" t="s">
        <v>9</v>
      </c>
      <c r="H414" s="4" t="s">
        <v>13</v>
      </c>
    </row>
    <row r="415" spans="1:12" hidden="1" x14ac:dyDescent="0.45">
      <c r="A415" s="8"/>
      <c r="B415" s="8">
        <v>1</v>
      </c>
      <c r="C415" s="21"/>
      <c r="D415" s="16" t="s">
        <v>162</v>
      </c>
      <c r="E415" s="21"/>
      <c r="F415" s="8">
        <v>2</v>
      </c>
      <c r="G415" s="8" t="s">
        <v>476</v>
      </c>
      <c r="H415" s="8" t="s">
        <v>38</v>
      </c>
      <c r="I415" s="8" t="s">
        <v>163</v>
      </c>
      <c r="J415" s="8"/>
      <c r="K415" s="8">
        <f t="shared" ref="K415:K426" si="36">J415*F415</f>
        <v>0</v>
      </c>
      <c r="L415" s="8"/>
    </row>
    <row r="416" spans="1:12" hidden="1" x14ac:dyDescent="0.45">
      <c r="A416" s="5"/>
      <c r="B416" s="5">
        <v>2</v>
      </c>
      <c r="C416" s="22"/>
      <c r="D416" s="17" t="s">
        <v>162</v>
      </c>
      <c r="E416" s="22"/>
      <c r="F416" s="5">
        <v>1</v>
      </c>
      <c r="G416" s="5" t="s">
        <v>476</v>
      </c>
      <c r="H416" s="5" t="s">
        <v>38</v>
      </c>
      <c r="I416" s="5" t="s">
        <v>164</v>
      </c>
      <c r="J416" s="5"/>
      <c r="K416" s="5">
        <f t="shared" si="36"/>
        <v>0</v>
      </c>
      <c r="L416" s="5"/>
    </row>
    <row r="417" spans="1:12" hidden="1" x14ac:dyDescent="0.45">
      <c r="A417" s="13"/>
      <c r="B417" s="13">
        <v>3</v>
      </c>
      <c r="C417" s="23"/>
      <c r="D417" s="18" t="s">
        <v>162</v>
      </c>
      <c r="E417" s="23"/>
      <c r="F417" s="13">
        <v>1</v>
      </c>
      <c r="G417" s="13" t="s">
        <v>476</v>
      </c>
      <c r="H417" s="13" t="s">
        <v>38</v>
      </c>
      <c r="I417" s="13" t="s">
        <v>165</v>
      </c>
      <c r="J417" s="13"/>
      <c r="K417" s="13">
        <f t="shared" si="36"/>
        <v>0</v>
      </c>
      <c r="L417" s="13"/>
    </row>
    <row r="418" spans="1:12" hidden="1" x14ac:dyDescent="0.45">
      <c r="B418" s="4">
        <v>4</v>
      </c>
      <c r="D418" s="10" t="s">
        <v>162</v>
      </c>
      <c r="F418" s="4">
        <v>1</v>
      </c>
      <c r="G418" s="4" t="s">
        <v>476</v>
      </c>
      <c r="H418" s="4" t="s">
        <v>38</v>
      </c>
      <c r="I418" s="4" t="s">
        <v>166</v>
      </c>
      <c r="J418" s="4">
        <v>5.5</v>
      </c>
      <c r="K418" s="4">
        <f t="shared" si="36"/>
        <v>5.5</v>
      </c>
    </row>
    <row r="419" spans="1:12" hidden="1" x14ac:dyDescent="0.45">
      <c r="A419" s="8"/>
      <c r="B419" s="8">
        <v>5</v>
      </c>
      <c r="C419" s="21"/>
      <c r="D419" s="16" t="s">
        <v>162</v>
      </c>
      <c r="E419" s="21"/>
      <c r="F419" s="8">
        <v>1</v>
      </c>
      <c r="G419" s="8" t="s">
        <v>476</v>
      </c>
      <c r="H419" s="8" t="s">
        <v>38</v>
      </c>
      <c r="I419" s="8" t="s">
        <v>167</v>
      </c>
      <c r="J419" s="8">
        <v>126.5</v>
      </c>
      <c r="K419" s="8">
        <f t="shared" si="36"/>
        <v>126.5</v>
      </c>
      <c r="L419" s="8"/>
    </row>
    <row r="420" spans="1:12" x14ac:dyDescent="0.45">
      <c r="A420" s="5"/>
      <c r="B420" s="5">
        <v>6</v>
      </c>
      <c r="C420" s="22"/>
      <c r="D420" s="17" t="s">
        <v>162</v>
      </c>
      <c r="E420" s="22"/>
      <c r="F420" s="5">
        <v>2</v>
      </c>
      <c r="G420" s="5" t="s">
        <v>53</v>
      </c>
      <c r="H420" s="5" t="s">
        <v>7</v>
      </c>
      <c r="I420" s="5">
        <v>2489</v>
      </c>
      <c r="J420" s="5">
        <v>26.5</v>
      </c>
      <c r="K420" s="5">
        <f t="shared" si="36"/>
        <v>53</v>
      </c>
      <c r="L420" s="5"/>
    </row>
    <row r="421" spans="1:12" x14ac:dyDescent="0.45">
      <c r="A421" s="13"/>
      <c r="B421" s="13">
        <v>7</v>
      </c>
      <c r="C421" s="23"/>
      <c r="D421" s="18" t="s">
        <v>162</v>
      </c>
      <c r="E421" s="23"/>
      <c r="F421" s="13">
        <v>2</v>
      </c>
      <c r="G421" s="13" t="s">
        <v>53</v>
      </c>
      <c r="H421" s="13" t="s">
        <v>7</v>
      </c>
      <c r="I421" s="13">
        <v>2489</v>
      </c>
      <c r="J421" s="13">
        <v>26.4</v>
      </c>
      <c r="K421" s="13">
        <f t="shared" si="36"/>
        <v>52.8</v>
      </c>
      <c r="L421" s="13"/>
    </row>
    <row r="422" spans="1:12" x14ac:dyDescent="0.45">
      <c r="B422" s="4">
        <v>8</v>
      </c>
      <c r="D422" s="10" t="s">
        <v>162</v>
      </c>
      <c r="F422" s="4">
        <v>2</v>
      </c>
      <c r="G422" s="4" t="s">
        <v>53</v>
      </c>
      <c r="I422" s="4">
        <v>762</v>
      </c>
      <c r="J422" s="4">
        <v>8.1</v>
      </c>
      <c r="K422" s="4">
        <f t="shared" si="36"/>
        <v>16.2</v>
      </c>
    </row>
    <row r="423" spans="1:12" x14ac:dyDescent="0.45">
      <c r="A423" s="8"/>
      <c r="B423" s="8">
        <v>14</v>
      </c>
      <c r="C423" s="21"/>
      <c r="D423" s="16" t="s">
        <v>162</v>
      </c>
      <c r="E423" s="21"/>
      <c r="F423" s="8">
        <v>2</v>
      </c>
      <c r="G423" s="8" t="s">
        <v>481</v>
      </c>
      <c r="H423" s="8"/>
      <c r="I423" s="8">
        <v>1778</v>
      </c>
      <c r="J423" s="8">
        <v>17.899999999999999</v>
      </c>
      <c r="K423" s="8">
        <v>17.899999999999999</v>
      </c>
      <c r="L423" s="8"/>
    </row>
    <row r="424" spans="1:12" x14ac:dyDescent="0.45">
      <c r="A424" s="5"/>
      <c r="B424" s="5">
        <v>15</v>
      </c>
      <c r="C424" s="22"/>
      <c r="D424" s="17" t="s">
        <v>162</v>
      </c>
      <c r="E424" s="22"/>
      <c r="F424" s="5">
        <v>2</v>
      </c>
      <c r="G424" s="5" t="s">
        <v>53</v>
      </c>
      <c r="H424" s="5" t="s">
        <v>7</v>
      </c>
      <c r="I424" s="5">
        <v>1583</v>
      </c>
      <c r="J424" s="5">
        <v>26.5</v>
      </c>
      <c r="K424" s="5">
        <v>53</v>
      </c>
      <c r="L424" s="5"/>
    </row>
    <row r="425" spans="1:12" x14ac:dyDescent="0.45">
      <c r="A425" s="13"/>
      <c r="B425" s="13">
        <v>16</v>
      </c>
      <c r="C425" s="23"/>
      <c r="D425" s="18" t="s">
        <v>162</v>
      </c>
      <c r="E425" s="23"/>
      <c r="F425" s="13">
        <v>2</v>
      </c>
      <c r="G425" s="13" t="s">
        <v>53</v>
      </c>
      <c r="H425" s="13" t="s">
        <v>7</v>
      </c>
      <c r="I425" s="13">
        <v>280</v>
      </c>
      <c r="J425" s="13">
        <v>26.4</v>
      </c>
      <c r="K425" s="13">
        <v>52.8</v>
      </c>
      <c r="L425" s="13"/>
    </row>
    <row r="426" spans="1:12" x14ac:dyDescent="0.45">
      <c r="A426" s="8"/>
      <c r="B426" s="8">
        <v>9</v>
      </c>
      <c r="C426" s="21"/>
      <c r="D426" s="16" t="s">
        <v>162</v>
      </c>
      <c r="E426" s="21"/>
      <c r="F426" s="8">
        <v>2</v>
      </c>
      <c r="G426" s="8" t="s">
        <v>53</v>
      </c>
      <c r="H426" s="8"/>
      <c r="I426" s="8">
        <v>259</v>
      </c>
      <c r="J426" s="8">
        <v>2</v>
      </c>
      <c r="K426" s="8">
        <f t="shared" si="36"/>
        <v>4</v>
      </c>
      <c r="L426" s="8"/>
    </row>
    <row r="427" spans="1:12" hidden="1" x14ac:dyDescent="0.45">
      <c r="A427" s="5"/>
      <c r="B427" s="5">
        <v>10</v>
      </c>
      <c r="C427" s="22">
        <v>4</v>
      </c>
      <c r="D427" s="17" t="s">
        <v>162</v>
      </c>
      <c r="E427" s="22" t="s">
        <v>17</v>
      </c>
      <c r="F427" s="5">
        <v>2</v>
      </c>
      <c r="G427" s="5" t="s">
        <v>23</v>
      </c>
      <c r="H427" s="5"/>
      <c r="I427" s="5"/>
      <c r="J427" s="5"/>
      <c r="K427" s="5"/>
      <c r="L427" s="5"/>
    </row>
    <row r="428" spans="1:12" hidden="1" x14ac:dyDescent="0.45">
      <c r="A428" s="13"/>
      <c r="B428" s="13">
        <v>11</v>
      </c>
      <c r="C428" s="23">
        <v>4</v>
      </c>
      <c r="D428" s="18" t="s">
        <v>162</v>
      </c>
      <c r="E428" s="23" t="s">
        <v>17</v>
      </c>
      <c r="F428" s="13">
        <v>2</v>
      </c>
      <c r="G428" s="13"/>
      <c r="H428" s="13"/>
      <c r="I428" s="13" t="s">
        <v>7</v>
      </c>
      <c r="J428" s="13">
        <v>97.2</v>
      </c>
      <c r="K428" s="13"/>
      <c r="L428" s="13"/>
    </row>
    <row r="429" spans="1:12" hidden="1" x14ac:dyDescent="0.45">
      <c r="B429" s="4">
        <v>12</v>
      </c>
      <c r="C429" s="12">
        <v>4</v>
      </c>
      <c r="D429" s="10" t="s">
        <v>162</v>
      </c>
      <c r="E429" s="12" t="s">
        <v>17</v>
      </c>
      <c r="F429" s="4">
        <v>4</v>
      </c>
      <c r="J429" s="4">
        <v>7.1</v>
      </c>
    </row>
    <row r="430" spans="1:12" hidden="1" x14ac:dyDescent="0.45">
      <c r="A430" s="8"/>
      <c r="B430" s="8">
        <v>13</v>
      </c>
      <c r="C430" s="21">
        <v>4</v>
      </c>
      <c r="D430" s="16" t="s">
        <v>162</v>
      </c>
      <c r="E430" s="21" t="s">
        <v>17</v>
      </c>
      <c r="F430" s="8">
        <v>2</v>
      </c>
      <c r="G430" s="8"/>
      <c r="H430" s="8" t="s">
        <v>19</v>
      </c>
      <c r="I430" s="8"/>
      <c r="J430" s="8">
        <v>3.4</v>
      </c>
      <c r="K430" s="8" t="s">
        <v>20</v>
      </c>
      <c r="L430" s="8" t="s">
        <v>49</v>
      </c>
    </row>
    <row r="431" spans="1:12" hidden="1" x14ac:dyDescent="0.45">
      <c r="A431" s="5"/>
      <c r="B431" s="5">
        <v>14</v>
      </c>
      <c r="C431" s="22">
        <v>4</v>
      </c>
      <c r="D431" s="17" t="s">
        <v>162</v>
      </c>
      <c r="E431" s="22" t="s">
        <v>17</v>
      </c>
      <c r="F431" s="5">
        <v>2</v>
      </c>
      <c r="G431" s="5" t="s">
        <v>23</v>
      </c>
      <c r="H431" s="5"/>
      <c r="I431" s="5"/>
      <c r="J431" s="5">
        <v>16</v>
      </c>
      <c r="K431" s="5"/>
      <c r="L431" s="5"/>
    </row>
    <row r="432" spans="1:12" hidden="1" x14ac:dyDescent="0.45">
      <c r="A432" s="13"/>
      <c r="B432" s="13">
        <v>15</v>
      </c>
      <c r="C432" s="23">
        <v>4</v>
      </c>
      <c r="D432" s="18" t="s">
        <v>162</v>
      </c>
      <c r="E432" s="23" t="s">
        <v>17</v>
      </c>
      <c r="F432" s="13">
        <v>2</v>
      </c>
      <c r="G432" s="13" t="s">
        <v>23</v>
      </c>
      <c r="H432" s="13"/>
      <c r="I432" s="13"/>
      <c r="J432" s="13">
        <v>14.2</v>
      </c>
      <c r="K432" s="13"/>
      <c r="L432" s="13"/>
    </row>
    <row r="433" spans="1:12" hidden="1" x14ac:dyDescent="0.45">
      <c r="B433" s="4">
        <v>16</v>
      </c>
      <c r="C433" s="12">
        <v>4</v>
      </c>
      <c r="D433" s="10" t="s">
        <v>162</v>
      </c>
      <c r="E433" s="12" t="s">
        <v>17</v>
      </c>
      <c r="F433" s="4">
        <v>2</v>
      </c>
      <c r="G433" s="4" t="s">
        <v>23</v>
      </c>
      <c r="J433" s="4">
        <v>2.5</v>
      </c>
    </row>
    <row r="434" spans="1:12" hidden="1" x14ac:dyDescent="0.45">
      <c r="A434" s="8" t="s">
        <v>0</v>
      </c>
      <c r="B434" s="8"/>
      <c r="C434" s="21"/>
      <c r="D434" s="16"/>
      <c r="E434" s="21"/>
      <c r="F434" s="8"/>
      <c r="G434" s="8"/>
      <c r="H434" s="8"/>
      <c r="I434" s="8"/>
      <c r="J434" s="8"/>
      <c r="K434" s="8"/>
      <c r="L434" s="8"/>
    </row>
    <row r="435" spans="1:12" hidden="1" x14ac:dyDescent="0.45">
      <c r="A435" s="5" t="s">
        <v>1</v>
      </c>
      <c r="B435" s="5"/>
      <c r="C435" s="22"/>
      <c r="D435" s="17"/>
      <c r="E435" s="22"/>
      <c r="F435" s="5"/>
      <c r="G435" s="5"/>
      <c r="H435" s="5"/>
      <c r="I435" s="5"/>
      <c r="J435" s="5"/>
      <c r="K435" s="5"/>
      <c r="L435" s="5"/>
    </row>
    <row r="436" spans="1:12" hidden="1" x14ac:dyDescent="0.45">
      <c r="A436" s="13" t="s">
        <v>154</v>
      </c>
      <c r="B436" s="13"/>
      <c r="C436" s="23"/>
      <c r="D436" s="18"/>
      <c r="E436" s="23"/>
      <c r="F436" s="13"/>
      <c r="G436" s="13"/>
      <c r="H436" s="13"/>
      <c r="I436" s="13"/>
      <c r="J436" s="13"/>
      <c r="K436" s="13"/>
      <c r="L436" s="13"/>
    </row>
    <row r="437" spans="1:12" hidden="1" x14ac:dyDescent="0.45">
      <c r="A437" s="4" t="s">
        <v>168</v>
      </c>
    </row>
    <row r="438" spans="1:12" hidden="1" x14ac:dyDescent="0.45">
      <c r="A438" s="8"/>
      <c r="B438" s="8" t="s">
        <v>4</v>
      </c>
      <c r="C438" s="21" t="s">
        <v>5</v>
      </c>
      <c r="D438" s="16" t="s">
        <v>6</v>
      </c>
      <c r="E438" s="21" t="s">
        <v>8</v>
      </c>
      <c r="F438" s="8" t="s">
        <v>9</v>
      </c>
      <c r="G438" s="8" t="s">
        <v>12</v>
      </c>
      <c r="H438" s="8" t="s">
        <v>15</v>
      </c>
      <c r="I438" s="8"/>
      <c r="J438" s="8"/>
      <c r="K438" s="8"/>
      <c r="L438" s="8"/>
    </row>
    <row r="439" spans="1:12" hidden="1" x14ac:dyDescent="0.45">
      <c r="A439" s="5"/>
      <c r="B439" s="5">
        <v>1</v>
      </c>
      <c r="C439" s="22"/>
      <c r="D439" s="17" t="s">
        <v>169</v>
      </c>
      <c r="E439" s="22"/>
      <c r="F439" s="5">
        <v>2</v>
      </c>
      <c r="G439" s="5" t="s">
        <v>477</v>
      </c>
      <c r="H439" s="5" t="s">
        <v>57</v>
      </c>
      <c r="I439" s="5" t="s">
        <v>170</v>
      </c>
      <c r="J439" s="5">
        <v>5.5</v>
      </c>
      <c r="K439" s="5">
        <f t="shared" ref="K439:K442" si="37">J439*F439</f>
        <v>11</v>
      </c>
      <c r="L439" s="5" t="s">
        <v>7</v>
      </c>
    </row>
    <row r="440" spans="1:12" hidden="1" x14ac:dyDescent="0.45">
      <c r="A440" s="13"/>
      <c r="B440" s="13">
        <v>2</v>
      </c>
      <c r="C440" s="23"/>
      <c r="D440" s="18" t="s">
        <v>169</v>
      </c>
      <c r="E440" s="23"/>
      <c r="F440" s="13">
        <v>2</v>
      </c>
      <c r="G440" s="13" t="s">
        <v>477</v>
      </c>
      <c r="H440" s="13" t="s">
        <v>57</v>
      </c>
      <c r="I440" s="13" t="s">
        <v>171</v>
      </c>
      <c r="J440" s="13">
        <v>4.5</v>
      </c>
      <c r="K440" s="13">
        <f t="shared" si="37"/>
        <v>9</v>
      </c>
      <c r="L440" s="13"/>
    </row>
    <row r="441" spans="1:12" hidden="1" x14ac:dyDescent="0.45">
      <c r="B441" s="4">
        <v>3</v>
      </c>
      <c r="D441" s="10" t="s">
        <v>169</v>
      </c>
      <c r="F441" s="4">
        <v>2</v>
      </c>
      <c r="G441" s="4" t="s">
        <v>477</v>
      </c>
      <c r="H441" s="4" t="s">
        <v>57</v>
      </c>
      <c r="I441" s="4" t="s">
        <v>172</v>
      </c>
      <c r="J441" s="4">
        <v>6.9</v>
      </c>
      <c r="K441" s="4">
        <f t="shared" si="37"/>
        <v>13.8</v>
      </c>
      <c r="L441" s="4" t="s">
        <v>7</v>
      </c>
    </row>
    <row r="442" spans="1:12" hidden="1" x14ac:dyDescent="0.45">
      <c r="A442" s="8"/>
      <c r="B442" s="8">
        <v>4</v>
      </c>
      <c r="C442" s="21"/>
      <c r="D442" s="16" t="s">
        <v>169</v>
      </c>
      <c r="E442" s="21"/>
      <c r="F442" s="8">
        <v>2</v>
      </c>
      <c r="G442" s="8" t="s">
        <v>477</v>
      </c>
      <c r="H442" s="8" t="s">
        <v>57</v>
      </c>
      <c r="I442" s="8" t="s">
        <v>173</v>
      </c>
      <c r="J442" s="8">
        <v>7.4</v>
      </c>
      <c r="K442" s="8">
        <f t="shared" si="37"/>
        <v>14.8</v>
      </c>
      <c r="L442" s="8" t="s">
        <v>7</v>
      </c>
    </row>
    <row r="443" spans="1:12" hidden="1" x14ac:dyDescent="0.45">
      <c r="A443" s="5" t="s">
        <v>0</v>
      </c>
      <c r="B443" s="5"/>
      <c r="C443" s="22"/>
      <c r="D443" s="17"/>
      <c r="E443" s="22"/>
      <c r="F443" s="5"/>
      <c r="G443" s="5"/>
      <c r="H443" s="5"/>
      <c r="I443" s="5"/>
      <c r="J443" s="5"/>
      <c r="K443" s="5"/>
      <c r="L443" s="5"/>
    </row>
    <row r="444" spans="1:12" hidden="1" x14ac:dyDescent="0.45">
      <c r="A444" s="13" t="s">
        <v>1</v>
      </c>
      <c r="B444" s="13"/>
      <c r="C444" s="23"/>
      <c r="D444" s="18"/>
      <c r="E444" s="23"/>
      <c r="F444" s="13"/>
      <c r="G444" s="13"/>
      <c r="H444" s="13"/>
      <c r="I444" s="13"/>
      <c r="J444" s="13"/>
      <c r="K444" s="13"/>
      <c r="L444" s="13"/>
    </row>
    <row r="445" spans="1:12" hidden="1" x14ac:dyDescent="0.45">
      <c r="A445" s="4" t="s">
        <v>146</v>
      </c>
    </row>
    <row r="446" spans="1:12" hidden="1" x14ac:dyDescent="0.45">
      <c r="A446" s="8" t="s">
        <v>174</v>
      </c>
      <c r="B446" s="8"/>
      <c r="C446" s="21"/>
      <c r="D446" s="16"/>
      <c r="E446" s="21"/>
      <c r="F446" s="8"/>
      <c r="G446" s="8"/>
      <c r="H446" s="8"/>
      <c r="I446" s="8"/>
      <c r="J446" s="8"/>
      <c r="K446" s="8"/>
      <c r="L446" s="8"/>
    </row>
    <row r="447" spans="1:12" hidden="1" x14ac:dyDescent="0.45">
      <c r="A447" s="5"/>
      <c r="B447" s="5" t="s">
        <v>4</v>
      </c>
      <c r="C447" s="22" t="s">
        <v>5</v>
      </c>
      <c r="D447" s="17" t="s">
        <v>6</v>
      </c>
      <c r="E447" s="22" t="s">
        <v>8</v>
      </c>
      <c r="F447" s="5" t="s">
        <v>9</v>
      </c>
      <c r="G447" s="5"/>
      <c r="H447" s="5"/>
      <c r="I447" s="5"/>
      <c r="J447" s="5"/>
      <c r="K447" s="5"/>
      <c r="L447" s="5"/>
    </row>
    <row r="448" spans="1:12" hidden="1" x14ac:dyDescent="0.45">
      <c r="A448" s="13"/>
      <c r="B448" s="13">
        <v>1</v>
      </c>
      <c r="C448" s="23"/>
      <c r="D448" s="18" t="s">
        <v>175</v>
      </c>
      <c r="E448" s="23"/>
      <c r="F448" s="13">
        <v>1</v>
      </c>
      <c r="G448" s="13" t="s">
        <v>70</v>
      </c>
      <c r="H448" s="13" t="s">
        <v>23</v>
      </c>
      <c r="I448" s="13">
        <v>2502</v>
      </c>
      <c r="J448" s="13">
        <v>45.9</v>
      </c>
      <c r="K448" s="13">
        <f t="shared" ref="K448:K450" si="38">J448*F448</f>
        <v>45.9</v>
      </c>
      <c r="L448" s="13"/>
    </row>
    <row r="449" spans="1:12" hidden="1" x14ac:dyDescent="0.45">
      <c r="B449" s="4">
        <v>2</v>
      </c>
      <c r="D449" s="10" t="s">
        <v>175</v>
      </c>
      <c r="F449" s="4">
        <v>1</v>
      </c>
      <c r="G449" s="4" t="s">
        <v>70</v>
      </c>
      <c r="H449" s="4" t="s">
        <v>23</v>
      </c>
      <c r="I449" s="4">
        <v>2808</v>
      </c>
      <c r="J449" s="4">
        <v>48.7</v>
      </c>
      <c r="K449" s="4">
        <f t="shared" si="38"/>
        <v>48.7</v>
      </c>
    </row>
    <row r="450" spans="1:12" hidden="1" x14ac:dyDescent="0.45">
      <c r="A450" s="8"/>
      <c r="B450" s="8">
        <v>3</v>
      </c>
      <c r="C450" s="21"/>
      <c r="D450" s="16" t="s">
        <v>175</v>
      </c>
      <c r="E450" s="21"/>
      <c r="F450" s="8">
        <v>2</v>
      </c>
      <c r="G450" s="8" t="s">
        <v>70</v>
      </c>
      <c r="H450" s="8" t="s">
        <v>23</v>
      </c>
      <c r="I450" s="8">
        <v>1970</v>
      </c>
      <c r="J450" s="8">
        <v>34.700000000000003</v>
      </c>
      <c r="K450" s="8">
        <f t="shared" si="38"/>
        <v>69.400000000000006</v>
      </c>
      <c r="L450" s="8"/>
    </row>
    <row r="451" spans="1:12" hidden="1" x14ac:dyDescent="0.45">
      <c r="A451" s="5"/>
      <c r="B451" s="5"/>
      <c r="C451" s="22"/>
      <c r="D451" s="17"/>
      <c r="E451" s="22"/>
      <c r="F451" s="5"/>
      <c r="G451" s="5"/>
      <c r="H451" s="5"/>
      <c r="I451" s="5"/>
      <c r="J451" s="5"/>
      <c r="K451" s="5"/>
      <c r="L451" s="5"/>
    </row>
    <row r="452" spans="1:12" hidden="1" x14ac:dyDescent="0.45">
      <c r="A452" s="13"/>
      <c r="B452" s="13"/>
      <c r="C452" s="23"/>
      <c r="D452" s="18"/>
      <c r="E452" s="23"/>
      <c r="F452" s="13"/>
      <c r="G452" s="13"/>
      <c r="H452" s="13"/>
      <c r="I452" s="13"/>
      <c r="J452" s="13"/>
      <c r="K452" s="13"/>
      <c r="L452" s="13"/>
    </row>
    <row r="453" spans="1:12" hidden="1" x14ac:dyDescent="0.4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5AAD-BB10-4B3D-AF64-B2E2BEAD6BD7}">
  <dimension ref="A1:A644"/>
  <sheetViews>
    <sheetView topLeftCell="A187" workbookViewId="0">
      <selection activeCell="A42" sqref="A42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6" spans="1:1" x14ac:dyDescent="0.45">
      <c r="A6" t="s">
        <v>176</v>
      </c>
    </row>
    <row r="7" spans="1:1" x14ac:dyDescent="0.45">
      <c r="A7" t="s">
        <v>177</v>
      </c>
    </row>
    <row r="8" spans="1:1" x14ac:dyDescent="0.45">
      <c r="A8" t="s">
        <v>178</v>
      </c>
    </row>
    <row r="9" spans="1:1" x14ac:dyDescent="0.45">
      <c r="A9" t="s">
        <v>179</v>
      </c>
    </row>
    <row r="10" spans="1:1" x14ac:dyDescent="0.45">
      <c r="A10" t="s">
        <v>180</v>
      </c>
    </row>
    <row r="11" spans="1:1" x14ac:dyDescent="0.45">
      <c r="A11" t="s">
        <v>181</v>
      </c>
    </row>
    <row r="12" spans="1:1" x14ac:dyDescent="0.45">
      <c r="A12" t="s">
        <v>182</v>
      </c>
    </row>
    <row r="13" spans="1:1" x14ac:dyDescent="0.45">
      <c r="A13" t="s">
        <v>183</v>
      </c>
    </row>
    <row r="14" spans="1:1" x14ac:dyDescent="0.45">
      <c r="A14" t="s">
        <v>184</v>
      </c>
    </row>
    <row r="15" spans="1:1" x14ac:dyDescent="0.45">
      <c r="A15" t="s">
        <v>185</v>
      </c>
    </row>
    <row r="16" spans="1:1" x14ac:dyDescent="0.45">
      <c r="A16" t="s">
        <v>186</v>
      </c>
    </row>
    <row r="17" spans="1:1" x14ac:dyDescent="0.45">
      <c r="A17" t="s">
        <v>187</v>
      </c>
    </row>
    <row r="18" spans="1:1" x14ac:dyDescent="0.45">
      <c r="A18" t="s">
        <v>188</v>
      </c>
    </row>
    <row r="19" spans="1:1" x14ac:dyDescent="0.45">
      <c r="A19" t="s">
        <v>189</v>
      </c>
    </row>
    <row r="20" spans="1:1" x14ac:dyDescent="0.45">
      <c r="A20" t="s">
        <v>190</v>
      </c>
    </row>
    <row r="21" spans="1:1" x14ac:dyDescent="0.45">
      <c r="A21" t="s">
        <v>191</v>
      </c>
    </row>
    <row r="22" spans="1:1" x14ac:dyDescent="0.45">
      <c r="A22" t="s">
        <v>192</v>
      </c>
    </row>
    <row r="23" spans="1:1" x14ac:dyDescent="0.45">
      <c r="A23" t="s">
        <v>193</v>
      </c>
    </row>
    <row r="24" spans="1:1" x14ac:dyDescent="0.45">
      <c r="A24" t="s">
        <v>194</v>
      </c>
    </row>
    <row r="25" spans="1:1" x14ac:dyDescent="0.45">
      <c r="A25" t="s">
        <v>195</v>
      </c>
    </row>
    <row r="26" spans="1:1" x14ac:dyDescent="0.45">
      <c r="A26" t="s">
        <v>196</v>
      </c>
    </row>
    <row r="27" spans="1:1" x14ac:dyDescent="0.45">
      <c r="A27" t="s">
        <v>197</v>
      </c>
    </row>
    <row r="28" spans="1:1" x14ac:dyDescent="0.45">
      <c r="A28" t="s">
        <v>198</v>
      </c>
    </row>
    <row r="29" spans="1:1" x14ac:dyDescent="0.45">
      <c r="A29" t="s">
        <v>199</v>
      </c>
    </row>
    <row r="30" spans="1:1" x14ac:dyDescent="0.45">
      <c r="A30" t="s">
        <v>200</v>
      </c>
    </row>
    <row r="31" spans="1:1" x14ac:dyDescent="0.45">
      <c r="A31" t="s">
        <v>201</v>
      </c>
    </row>
    <row r="32" spans="1:1" x14ac:dyDescent="0.45">
      <c r="A32" t="s">
        <v>202</v>
      </c>
    </row>
    <row r="35" spans="1:1" x14ac:dyDescent="0.45">
      <c r="A35" t="s">
        <v>0</v>
      </c>
    </row>
    <row r="36" spans="1:1" x14ac:dyDescent="0.45">
      <c r="A36" t="s">
        <v>1</v>
      </c>
    </row>
    <row r="37" spans="1:1" x14ac:dyDescent="0.45">
      <c r="A37" t="s">
        <v>2</v>
      </c>
    </row>
    <row r="38" spans="1:1" x14ac:dyDescent="0.45">
      <c r="A38" t="s">
        <v>40</v>
      </c>
    </row>
    <row r="40" spans="1:1" x14ac:dyDescent="0.45">
      <c r="A40" t="s">
        <v>203</v>
      </c>
    </row>
    <row r="41" spans="1:1" x14ac:dyDescent="0.45">
      <c r="A41" t="s">
        <v>204</v>
      </c>
    </row>
    <row r="42" spans="1:1" x14ac:dyDescent="0.45">
      <c r="A42" t="s">
        <v>205</v>
      </c>
    </row>
    <row r="43" spans="1:1" x14ac:dyDescent="0.45">
      <c r="A43" t="s">
        <v>206</v>
      </c>
    </row>
    <row r="44" spans="1:1" x14ac:dyDescent="0.45">
      <c r="A44" t="s">
        <v>207</v>
      </c>
    </row>
    <row r="45" spans="1:1" x14ac:dyDescent="0.45">
      <c r="A45" t="s">
        <v>208</v>
      </c>
    </row>
    <row r="46" spans="1:1" x14ac:dyDescent="0.45">
      <c r="A46" t="s">
        <v>209</v>
      </c>
    </row>
    <row r="47" spans="1:1" x14ac:dyDescent="0.45">
      <c r="A47" t="s">
        <v>210</v>
      </c>
    </row>
    <row r="48" spans="1:1" x14ac:dyDescent="0.45">
      <c r="A48" t="s">
        <v>211</v>
      </c>
    </row>
    <row r="49" spans="1:1" x14ac:dyDescent="0.45">
      <c r="A49" t="s">
        <v>212</v>
      </c>
    </row>
    <row r="50" spans="1:1" x14ac:dyDescent="0.45">
      <c r="A50" t="s">
        <v>213</v>
      </c>
    </row>
    <row r="51" spans="1:1" x14ac:dyDescent="0.45">
      <c r="A51" t="s">
        <v>214</v>
      </c>
    </row>
    <row r="52" spans="1:1" x14ac:dyDescent="0.45">
      <c r="A52" t="s">
        <v>215</v>
      </c>
    </row>
    <row r="53" spans="1:1" x14ac:dyDescent="0.45">
      <c r="A53" t="s">
        <v>216</v>
      </c>
    </row>
    <row r="54" spans="1:1" x14ac:dyDescent="0.45">
      <c r="A54" t="s">
        <v>217</v>
      </c>
    </row>
    <row r="55" spans="1:1" x14ac:dyDescent="0.45">
      <c r="A55" t="s">
        <v>218</v>
      </c>
    </row>
    <row r="56" spans="1:1" x14ac:dyDescent="0.45">
      <c r="A56" t="s">
        <v>219</v>
      </c>
    </row>
    <row r="57" spans="1:1" x14ac:dyDescent="0.45">
      <c r="A57" t="s">
        <v>220</v>
      </c>
    </row>
    <row r="61" spans="1:1" x14ac:dyDescent="0.45">
      <c r="A61" t="s">
        <v>0</v>
      </c>
    </row>
    <row r="62" spans="1:1" x14ac:dyDescent="0.45">
      <c r="A62" t="s">
        <v>1</v>
      </c>
    </row>
    <row r="63" spans="1:1" x14ac:dyDescent="0.45">
      <c r="A63" t="s">
        <v>2</v>
      </c>
    </row>
    <row r="64" spans="1:1" x14ac:dyDescent="0.45">
      <c r="A64" t="s">
        <v>55</v>
      </c>
    </row>
    <row r="66" spans="1:1" x14ac:dyDescent="0.45">
      <c r="A66" t="s">
        <v>221</v>
      </c>
    </row>
    <row r="67" spans="1:1" x14ac:dyDescent="0.45">
      <c r="A67" t="s">
        <v>222</v>
      </c>
    </row>
    <row r="68" spans="1:1" x14ac:dyDescent="0.45">
      <c r="A68" t="s">
        <v>223</v>
      </c>
    </row>
    <row r="69" spans="1:1" x14ac:dyDescent="0.45">
      <c r="A69" t="s">
        <v>224</v>
      </c>
    </row>
    <row r="70" spans="1:1" x14ac:dyDescent="0.45">
      <c r="A70" t="s">
        <v>225</v>
      </c>
    </row>
    <row r="71" spans="1:1" x14ac:dyDescent="0.45">
      <c r="A71" t="s">
        <v>226</v>
      </c>
    </row>
    <row r="72" spans="1:1" x14ac:dyDescent="0.45">
      <c r="A72" t="s">
        <v>227</v>
      </c>
    </row>
    <row r="76" spans="1:1" x14ac:dyDescent="0.45">
      <c r="A76" t="s">
        <v>0</v>
      </c>
    </row>
    <row r="77" spans="1:1" x14ac:dyDescent="0.45">
      <c r="A77" t="s">
        <v>1</v>
      </c>
    </row>
    <row r="78" spans="1:1" x14ac:dyDescent="0.45">
      <c r="A78" t="s">
        <v>2</v>
      </c>
    </row>
    <row r="79" spans="1:1" x14ac:dyDescent="0.45">
      <c r="A79" t="s">
        <v>58</v>
      </c>
    </row>
    <row r="81" spans="1:1" x14ac:dyDescent="0.45">
      <c r="A81" t="s">
        <v>228</v>
      </c>
    </row>
    <row r="82" spans="1:1" x14ac:dyDescent="0.45">
      <c r="A82" t="s">
        <v>229</v>
      </c>
    </row>
    <row r="83" spans="1:1" x14ac:dyDescent="0.45">
      <c r="A83" t="s">
        <v>230</v>
      </c>
    </row>
    <row r="84" spans="1:1" x14ac:dyDescent="0.45">
      <c r="A84" t="s">
        <v>231</v>
      </c>
    </row>
    <row r="85" spans="1:1" x14ac:dyDescent="0.45">
      <c r="A85" t="s">
        <v>232</v>
      </c>
    </row>
    <row r="89" spans="1:1" x14ac:dyDescent="0.45">
      <c r="A89" t="s">
        <v>0</v>
      </c>
    </row>
    <row r="90" spans="1:1" x14ac:dyDescent="0.45">
      <c r="A90" t="s">
        <v>1</v>
      </c>
    </row>
    <row r="91" spans="1:1" x14ac:dyDescent="0.45">
      <c r="A91" t="s">
        <v>2</v>
      </c>
    </row>
    <row r="92" spans="1:1" x14ac:dyDescent="0.45">
      <c r="A92" t="s">
        <v>60</v>
      </c>
    </row>
    <row r="94" spans="1:1" x14ac:dyDescent="0.45">
      <c r="A94" t="s">
        <v>233</v>
      </c>
    </row>
    <row r="95" spans="1:1" x14ac:dyDescent="0.45">
      <c r="A95" t="s">
        <v>234</v>
      </c>
    </row>
    <row r="96" spans="1:1" x14ac:dyDescent="0.45">
      <c r="A96" t="s">
        <v>235</v>
      </c>
    </row>
    <row r="97" spans="1:1" x14ac:dyDescent="0.45">
      <c r="A97" t="s">
        <v>236</v>
      </c>
    </row>
    <row r="98" spans="1:1" x14ac:dyDescent="0.45">
      <c r="A98" t="s">
        <v>237</v>
      </c>
    </row>
    <row r="99" spans="1:1" x14ac:dyDescent="0.45">
      <c r="A99" t="s">
        <v>238</v>
      </c>
    </row>
    <row r="103" spans="1:1" x14ac:dyDescent="0.45">
      <c r="A103" t="s">
        <v>0</v>
      </c>
    </row>
    <row r="104" spans="1:1" x14ac:dyDescent="0.45">
      <c r="A104" t="s">
        <v>1</v>
      </c>
    </row>
    <row r="105" spans="1:1" x14ac:dyDescent="0.45">
      <c r="A105" t="s">
        <v>2</v>
      </c>
    </row>
    <row r="106" spans="1:1" x14ac:dyDescent="0.45">
      <c r="A106" t="s">
        <v>62</v>
      </c>
    </row>
    <row r="108" spans="1:1" x14ac:dyDescent="0.45">
      <c r="A108" t="s">
        <v>233</v>
      </c>
    </row>
    <row r="109" spans="1:1" x14ac:dyDescent="0.45">
      <c r="A109" t="s">
        <v>234</v>
      </c>
    </row>
    <row r="110" spans="1:1" x14ac:dyDescent="0.45">
      <c r="A110" t="s">
        <v>239</v>
      </c>
    </row>
    <row r="111" spans="1:1" x14ac:dyDescent="0.45">
      <c r="A111" t="s">
        <v>240</v>
      </c>
    </row>
    <row r="114" spans="1:1" x14ac:dyDescent="0.45">
      <c r="A114" t="s">
        <v>0</v>
      </c>
    </row>
    <row r="115" spans="1:1" x14ac:dyDescent="0.45">
      <c r="A115" t="s">
        <v>1</v>
      </c>
    </row>
    <row r="116" spans="1:1" x14ac:dyDescent="0.45">
      <c r="A116" t="s">
        <v>2</v>
      </c>
    </row>
    <row r="117" spans="1:1" x14ac:dyDescent="0.45">
      <c r="A117" t="s">
        <v>64</v>
      </c>
    </row>
    <row r="119" spans="1:1" x14ac:dyDescent="0.45">
      <c r="A119" t="s">
        <v>233</v>
      </c>
    </row>
    <row r="120" spans="1:1" x14ac:dyDescent="0.45">
      <c r="A120" t="s">
        <v>234</v>
      </c>
    </row>
    <row r="121" spans="1:1" x14ac:dyDescent="0.45">
      <c r="A121" t="s">
        <v>241</v>
      </c>
    </row>
    <row r="122" spans="1:1" x14ac:dyDescent="0.45">
      <c r="A122" t="s">
        <v>242</v>
      </c>
    </row>
    <row r="126" spans="1:1" x14ac:dyDescent="0.45">
      <c r="A126" t="s">
        <v>0</v>
      </c>
    </row>
    <row r="127" spans="1:1" x14ac:dyDescent="0.45">
      <c r="A127" t="s">
        <v>1</v>
      </c>
    </row>
    <row r="128" spans="1:1" x14ac:dyDescent="0.45">
      <c r="A128" t="s">
        <v>2</v>
      </c>
    </row>
    <row r="129" spans="1:1" x14ac:dyDescent="0.45">
      <c r="A129" t="s">
        <v>66</v>
      </c>
    </row>
    <row r="131" spans="1:1" x14ac:dyDescent="0.45">
      <c r="A131" t="s">
        <v>233</v>
      </c>
    </row>
    <row r="132" spans="1:1" x14ac:dyDescent="0.45">
      <c r="A132" t="s">
        <v>234</v>
      </c>
    </row>
    <row r="133" spans="1:1" x14ac:dyDescent="0.45">
      <c r="A133" t="s">
        <v>243</v>
      </c>
    </row>
    <row r="134" spans="1:1" x14ac:dyDescent="0.45">
      <c r="A134" t="s">
        <v>244</v>
      </c>
    </row>
    <row r="137" spans="1:1" x14ac:dyDescent="0.45">
      <c r="A137" t="s">
        <v>0</v>
      </c>
    </row>
    <row r="138" spans="1:1" x14ac:dyDescent="0.45">
      <c r="A138" t="s">
        <v>1</v>
      </c>
    </row>
    <row r="139" spans="1:1" x14ac:dyDescent="0.45">
      <c r="A139" t="s">
        <v>2</v>
      </c>
    </row>
    <row r="140" spans="1:1" x14ac:dyDescent="0.45">
      <c r="A140" t="s">
        <v>68</v>
      </c>
    </row>
    <row r="142" spans="1:1" x14ac:dyDescent="0.45">
      <c r="A142" t="s">
        <v>245</v>
      </c>
    </row>
    <row r="143" spans="1:1" x14ac:dyDescent="0.45">
      <c r="A143" t="s">
        <v>246</v>
      </c>
    </row>
    <row r="144" spans="1:1" x14ac:dyDescent="0.45">
      <c r="A144" t="s">
        <v>247</v>
      </c>
    </row>
    <row r="145" spans="1:1" x14ac:dyDescent="0.45">
      <c r="A145" t="s">
        <v>248</v>
      </c>
    </row>
    <row r="146" spans="1:1" x14ac:dyDescent="0.45">
      <c r="A146" t="s">
        <v>249</v>
      </c>
    </row>
    <row r="147" spans="1:1" x14ac:dyDescent="0.45">
      <c r="A147" t="s">
        <v>250</v>
      </c>
    </row>
    <row r="148" spans="1:1" x14ac:dyDescent="0.45">
      <c r="A148" t="s">
        <v>251</v>
      </c>
    </row>
    <row r="149" spans="1:1" x14ac:dyDescent="0.45">
      <c r="A149" t="s">
        <v>252</v>
      </c>
    </row>
    <row r="154" spans="1:1" x14ac:dyDescent="0.45">
      <c r="A154" t="s">
        <v>0</v>
      </c>
    </row>
    <row r="155" spans="1:1" x14ac:dyDescent="0.45">
      <c r="A155" t="s">
        <v>1</v>
      </c>
    </row>
    <row r="156" spans="1:1" x14ac:dyDescent="0.45">
      <c r="A156" t="s">
        <v>2</v>
      </c>
    </row>
    <row r="157" spans="1:1" x14ac:dyDescent="0.45">
      <c r="A157" t="s">
        <v>68</v>
      </c>
    </row>
    <row r="159" spans="1:1" x14ac:dyDescent="0.45">
      <c r="A159" t="s">
        <v>245</v>
      </c>
    </row>
    <row r="160" spans="1:1" x14ac:dyDescent="0.45">
      <c r="A160" t="s">
        <v>246</v>
      </c>
    </row>
    <row r="161" spans="1:1" x14ac:dyDescent="0.45">
      <c r="A161" t="s">
        <v>247</v>
      </c>
    </row>
    <row r="162" spans="1:1" x14ac:dyDescent="0.45">
      <c r="A162" t="s">
        <v>248</v>
      </c>
    </row>
    <row r="163" spans="1:1" x14ac:dyDescent="0.45">
      <c r="A163" t="s">
        <v>249</v>
      </c>
    </row>
    <row r="164" spans="1:1" x14ac:dyDescent="0.45">
      <c r="A164" t="s">
        <v>250</v>
      </c>
    </row>
    <row r="165" spans="1:1" x14ac:dyDescent="0.45">
      <c r="A165" t="s">
        <v>251</v>
      </c>
    </row>
    <row r="166" spans="1:1" x14ac:dyDescent="0.45">
      <c r="A166" t="s">
        <v>252</v>
      </c>
    </row>
    <row r="170" spans="1:1" x14ac:dyDescent="0.45">
      <c r="A170" t="s">
        <v>0</v>
      </c>
    </row>
    <row r="171" spans="1:1" x14ac:dyDescent="0.45">
      <c r="A171" t="s">
        <v>1</v>
      </c>
    </row>
    <row r="172" spans="1:1" x14ac:dyDescent="0.45">
      <c r="A172" t="s">
        <v>2</v>
      </c>
    </row>
    <row r="173" spans="1:1" x14ac:dyDescent="0.45">
      <c r="A173" t="s">
        <v>71</v>
      </c>
    </row>
    <row r="175" spans="1:1" x14ac:dyDescent="0.45">
      <c r="A175" t="s">
        <v>245</v>
      </c>
    </row>
    <row r="176" spans="1:1" x14ac:dyDescent="0.45">
      <c r="A176" t="s">
        <v>246</v>
      </c>
    </row>
    <row r="177" spans="1:1" x14ac:dyDescent="0.45">
      <c r="A177" t="s">
        <v>253</v>
      </c>
    </row>
    <row r="178" spans="1:1" x14ac:dyDescent="0.45">
      <c r="A178" t="s">
        <v>254</v>
      </c>
    </row>
    <row r="179" spans="1:1" x14ac:dyDescent="0.45">
      <c r="A179" t="s">
        <v>255</v>
      </c>
    </row>
    <row r="180" spans="1:1" x14ac:dyDescent="0.45">
      <c r="A180" t="s">
        <v>256</v>
      </c>
    </row>
    <row r="181" spans="1:1" x14ac:dyDescent="0.45">
      <c r="A181" t="s">
        <v>257</v>
      </c>
    </row>
    <row r="182" spans="1:1" x14ac:dyDescent="0.45">
      <c r="A182" t="s">
        <v>258</v>
      </c>
    </row>
    <row r="183" spans="1:1" x14ac:dyDescent="0.45">
      <c r="A183" t="s">
        <v>259</v>
      </c>
    </row>
    <row r="186" spans="1:1" x14ac:dyDescent="0.45">
      <c r="A186" t="s">
        <v>0</v>
      </c>
    </row>
    <row r="187" spans="1:1" x14ac:dyDescent="0.45">
      <c r="A187" t="s">
        <v>1</v>
      </c>
    </row>
    <row r="188" spans="1:1" x14ac:dyDescent="0.45">
      <c r="A188" t="s">
        <v>2</v>
      </c>
    </row>
    <row r="189" spans="1:1" x14ac:dyDescent="0.45">
      <c r="A189" t="s">
        <v>74</v>
      </c>
    </row>
    <row r="191" spans="1:1" x14ac:dyDescent="0.45">
      <c r="A191" t="s">
        <v>221</v>
      </c>
    </row>
    <row r="192" spans="1:1" x14ac:dyDescent="0.45">
      <c r="A192" t="s">
        <v>222</v>
      </c>
    </row>
    <row r="193" spans="1:1" x14ac:dyDescent="0.45">
      <c r="A193" t="s">
        <v>260</v>
      </c>
    </row>
    <row r="194" spans="1:1" x14ac:dyDescent="0.45">
      <c r="A194" t="s">
        <v>261</v>
      </c>
    </row>
    <row r="199" spans="1:1" x14ac:dyDescent="0.45">
      <c r="A199" t="s">
        <v>0</v>
      </c>
    </row>
    <row r="200" spans="1:1" x14ac:dyDescent="0.45">
      <c r="A200" t="s">
        <v>1</v>
      </c>
    </row>
    <row r="201" spans="1:1" x14ac:dyDescent="0.45">
      <c r="A201" t="s">
        <v>2</v>
      </c>
    </row>
    <row r="202" spans="1:1" x14ac:dyDescent="0.45">
      <c r="A202" t="s">
        <v>76</v>
      </c>
    </row>
    <row r="204" spans="1:1" x14ac:dyDescent="0.45">
      <c r="A204" t="s">
        <v>262</v>
      </c>
    </row>
    <row r="205" spans="1:1" x14ac:dyDescent="0.45">
      <c r="A205" t="s">
        <v>263</v>
      </c>
    </row>
    <row r="206" spans="1:1" x14ac:dyDescent="0.45">
      <c r="A206" t="s">
        <v>264</v>
      </c>
    </row>
    <row r="207" spans="1:1" x14ac:dyDescent="0.45">
      <c r="A207" t="s">
        <v>265</v>
      </c>
    </row>
    <row r="208" spans="1:1" x14ac:dyDescent="0.45">
      <c r="A208" t="s">
        <v>266</v>
      </c>
    </row>
    <row r="209" spans="1:1" x14ac:dyDescent="0.45">
      <c r="A209" t="s">
        <v>267</v>
      </c>
    </row>
    <row r="210" spans="1:1" x14ac:dyDescent="0.45">
      <c r="A210" t="s">
        <v>268</v>
      </c>
    </row>
    <row r="214" spans="1:1" x14ac:dyDescent="0.45">
      <c r="A214" t="s">
        <v>0</v>
      </c>
    </row>
    <row r="215" spans="1:1" x14ac:dyDescent="0.45">
      <c r="A215" t="s">
        <v>1</v>
      </c>
    </row>
    <row r="216" spans="1:1" x14ac:dyDescent="0.45">
      <c r="A216" t="s">
        <v>2</v>
      </c>
    </row>
    <row r="217" spans="1:1" x14ac:dyDescent="0.45">
      <c r="A217" t="s">
        <v>78</v>
      </c>
    </row>
    <row r="219" spans="1:1" x14ac:dyDescent="0.45">
      <c r="A219" t="s">
        <v>221</v>
      </c>
    </row>
    <row r="220" spans="1:1" x14ac:dyDescent="0.45">
      <c r="A220" t="s">
        <v>222</v>
      </c>
    </row>
    <row r="221" spans="1:1" x14ac:dyDescent="0.45">
      <c r="A221" t="s">
        <v>269</v>
      </c>
    </row>
    <row r="222" spans="1:1" x14ac:dyDescent="0.45">
      <c r="A222" t="s">
        <v>270</v>
      </c>
    </row>
    <row r="223" spans="1:1" x14ac:dyDescent="0.45">
      <c r="A223" t="s">
        <v>271</v>
      </c>
    </row>
    <row r="224" spans="1:1" x14ac:dyDescent="0.45">
      <c r="A224" t="s">
        <v>272</v>
      </c>
    </row>
    <row r="228" spans="1:1" x14ac:dyDescent="0.45">
      <c r="A228" t="s">
        <v>0</v>
      </c>
    </row>
    <row r="229" spans="1:1" x14ac:dyDescent="0.45">
      <c r="A229" t="s">
        <v>1</v>
      </c>
    </row>
    <row r="230" spans="1:1" x14ac:dyDescent="0.45">
      <c r="A230" t="s">
        <v>2</v>
      </c>
    </row>
    <row r="231" spans="1:1" x14ac:dyDescent="0.45">
      <c r="A231" t="s">
        <v>80</v>
      </c>
    </row>
    <row r="233" spans="1:1" x14ac:dyDescent="0.45">
      <c r="A233" t="s">
        <v>262</v>
      </c>
    </row>
    <row r="234" spans="1:1" x14ac:dyDescent="0.45">
      <c r="A234" t="s">
        <v>263</v>
      </c>
    </row>
    <row r="235" spans="1:1" x14ac:dyDescent="0.45">
      <c r="A235" t="s">
        <v>273</v>
      </c>
    </row>
    <row r="236" spans="1:1" x14ac:dyDescent="0.45">
      <c r="A236" t="s">
        <v>274</v>
      </c>
    </row>
    <row r="239" spans="1:1" x14ac:dyDescent="0.45">
      <c r="A239" t="s">
        <v>0</v>
      </c>
    </row>
    <row r="240" spans="1:1" x14ac:dyDescent="0.45">
      <c r="A240" t="s">
        <v>1</v>
      </c>
    </row>
    <row r="241" spans="1:1" x14ac:dyDescent="0.45">
      <c r="A241" t="s">
        <v>2</v>
      </c>
    </row>
    <row r="242" spans="1:1" x14ac:dyDescent="0.45">
      <c r="A242" t="s">
        <v>83</v>
      </c>
    </row>
    <row r="244" spans="1:1" x14ac:dyDescent="0.45">
      <c r="A244" t="s">
        <v>262</v>
      </c>
    </row>
    <row r="245" spans="1:1" x14ac:dyDescent="0.45">
      <c r="A245" t="s">
        <v>263</v>
      </c>
    </row>
    <row r="246" spans="1:1" x14ac:dyDescent="0.45">
      <c r="A246" t="s">
        <v>275</v>
      </c>
    </row>
    <row r="247" spans="1:1" x14ac:dyDescent="0.45">
      <c r="A247" t="s">
        <v>276</v>
      </c>
    </row>
    <row r="251" spans="1:1" x14ac:dyDescent="0.45">
      <c r="A251" t="s">
        <v>0</v>
      </c>
    </row>
    <row r="252" spans="1:1" x14ac:dyDescent="0.45">
      <c r="A252" t="s">
        <v>1</v>
      </c>
    </row>
    <row r="253" spans="1:1" x14ac:dyDescent="0.45">
      <c r="A253" t="s">
        <v>2</v>
      </c>
    </row>
    <row r="254" spans="1:1" x14ac:dyDescent="0.45">
      <c r="A254" t="s">
        <v>85</v>
      </c>
    </row>
    <row r="257" spans="1:1" x14ac:dyDescent="0.45">
      <c r="A257" t="s">
        <v>277</v>
      </c>
    </row>
    <row r="258" spans="1:1" x14ac:dyDescent="0.45">
      <c r="A258" t="s">
        <v>278</v>
      </c>
    </row>
    <row r="259" spans="1:1" x14ac:dyDescent="0.45">
      <c r="A259" t="s">
        <v>279</v>
      </c>
    </row>
    <row r="260" spans="1:1" x14ac:dyDescent="0.45">
      <c r="A260" t="s">
        <v>280</v>
      </c>
    </row>
    <row r="261" spans="1:1" x14ac:dyDescent="0.45">
      <c r="A261" t="s">
        <v>281</v>
      </c>
    </row>
    <row r="262" spans="1:1" x14ac:dyDescent="0.45">
      <c r="A262" t="s">
        <v>282</v>
      </c>
    </row>
    <row r="265" spans="1:1" x14ac:dyDescent="0.45">
      <c r="A265" t="s">
        <v>89</v>
      </c>
    </row>
    <row r="266" spans="1:1" x14ac:dyDescent="0.45">
      <c r="A266" t="s">
        <v>89</v>
      </c>
    </row>
    <row r="270" spans="1:1" x14ac:dyDescent="0.45">
      <c r="A270" t="s">
        <v>0</v>
      </c>
    </row>
    <row r="271" spans="1:1" x14ac:dyDescent="0.45">
      <c r="A271" t="s">
        <v>1</v>
      </c>
    </row>
    <row r="272" spans="1:1" x14ac:dyDescent="0.45">
      <c r="A272" t="s">
        <v>90</v>
      </c>
    </row>
    <row r="273" spans="1:1" x14ac:dyDescent="0.45">
      <c r="A273" t="s">
        <v>91</v>
      </c>
    </row>
    <row r="275" spans="1:1" x14ac:dyDescent="0.45">
      <c r="A275" t="s">
        <v>176</v>
      </c>
    </row>
    <row r="276" spans="1:1" x14ac:dyDescent="0.45">
      <c r="A276" t="s">
        <v>177</v>
      </c>
    </row>
    <row r="277" spans="1:1" x14ac:dyDescent="0.45">
      <c r="A277" t="s">
        <v>283</v>
      </c>
    </row>
    <row r="278" spans="1:1" x14ac:dyDescent="0.45">
      <c r="A278" t="s">
        <v>284</v>
      </c>
    </row>
    <row r="279" spans="1:1" x14ac:dyDescent="0.45">
      <c r="A279" t="s">
        <v>285</v>
      </c>
    </row>
    <row r="280" spans="1:1" x14ac:dyDescent="0.45">
      <c r="A280" t="s">
        <v>286</v>
      </c>
    </row>
    <row r="281" spans="1:1" x14ac:dyDescent="0.45">
      <c r="A281" t="s">
        <v>287</v>
      </c>
    </row>
    <row r="282" spans="1:1" x14ac:dyDescent="0.45">
      <c r="A282" t="s">
        <v>288</v>
      </c>
    </row>
    <row r="283" spans="1:1" x14ac:dyDescent="0.45">
      <c r="A283" t="s">
        <v>289</v>
      </c>
    </row>
    <row r="284" spans="1:1" x14ac:dyDescent="0.45">
      <c r="A284" t="s">
        <v>290</v>
      </c>
    </row>
    <row r="285" spans="1:1" x14ac:dyDescent="0.45">
      <c r="A285" t="s">
        <v>291</v>
      </c>
    </row>
    <row r="286" spans="1:1" x14ac:dyDescent="0.45">
      <c r="A286" t="s">
        <v>292</v>
      </c>
    </row>
    <row r="289" spans="1:1" x14ac:dyDescent="0.45">
      <c r="A289" t="s">
        <v>0</v>
      </c>
    </row>
    <row r="290" spans="1:1" x14ac:dyDescent="0.45">
      <c r="A290" t="s">
        <v>1</v>
      </c>
    </row>
    <row r="291" spans="1:1" x14ac:dyDescent="0.45">
      <c r="A291" t="s">
        <v>90</v>
      </c>
    </row>
    <row r="292" spans="1:1" x14ac:dyDescent="0.45">
      <c r="A292" t="s">
        <v>99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6" spans="1:1" x14ac:dyDescent="0.45">
      <c r="A306" t="s">
        <v>0</v>
      </c>
    </row>
    <row r="307" spans="1:1" x14ac:dyDescent="0.45">
      <c r="A307" t="s">
        <v>1</v>
      </c>
    </row>
    <row r="308" spans="1:1" x14ac:dyDescent="0.45">
      <c r="A308" t="s">
        <v>90</v>
      </c>
    </row>
    <row r="309" spans="1:1" x14ac:dyDescent="0.45">
      <c r="A309" t="s">
        <v>104</v>
      </c>
    </row>
    <row r="311" spans="1:1" x14ac:dyDescent="0.45">
      <c r="A311" t="s">
        <v>245</v>
      </c>
    </row>
    <row r="312" spans="1:1" x14ac:dyDescent="0.45">
      <c r="A312" t="s">
        <v>246</v>
      </c>
    </row>
    <row r="313" spans="1:1" x14ac:dyDescent="0.45">
      <c r="A313" t="s">
        <v>302</v>
      </c>
    </row>
    <row r="314" spans="1:1" x14ac:dyDescent="0.45">
      <c r="A314" t="s">
        <v>303</v>
      </c>
    </row>
    <row r="315" spans="1:1" x14ac:dyDescent="0.45">
      <c r="A315" t="s">
        <v>304</v>
      </c>
    </row>
    <row r="316" spans="1:1" x14ac:dyDescent="0.45">
      <c r="A316" t="s">
        <v>305</v>
      </c>
    </row>
    <row r="317" spans="1:1" x14ac:dyDescent="0.45">
      <c r="A317" t="s">
        <v>306</v>
      </c>
    </row>
    <row r="321" spans="1:1" x14ac:dyDescent="0.45">
      <c r="A321" t="s">
        <v>0</v>
      </c>
    </row>
    <row r="322" spans="1:1" x14ac:dyDescent="0.45">
      <c r="A322" t="s">
        <v>1</v>
      </c>
    </row>
    <row r="323" spans="1:1" x14ac:dyDescent="0.45">
      <c r="A323" t="s">
        <v>90</v>
      </c>
    </row>
    <row r="324" spans="1:1" x14ac:dyDescent="0.45">
      <c r="A324" t="s">
        <v>106</v>
      </c>
    </row>
    <row r="326" spans="1:1" x14ac:dyDescent="0.45">
      <c r="A326" t="s">
        <v>262</v>
      </c>
    </row>
    <row r="327" spans="1:1" x14ac:dyDescent="0.45">
      <c r="A327" t="s">
        <v>263</v>
      </c>
    </row>
    <row r="328" spans="1:1" x14ac:dyDescent="0.45">
      <c r="A328" t="s">
        <v>307</v>
      </c>
    </row>
    <row r="329" spans="1:1" x14ac:dyDescent="0.45">
      <c r="A329" t="s">
        <v>308</v>
      </c>
    </row>
    <row r="330" spans="1:1" x14ac:dyDescent="0.45">
      <c r="A330" t="s">
        <v>309</v>
      </c>
    </row>
    <row r="331" spans="1:1" x14ac:dyDescent="0.45">
      <c r="A331" t="s">
        <v>310</v>
      </c>
    </row>
    <row r="332" spans="1:1" x14ac:dyDescent="0.45">
      <c r="A332" t="s">
        <v>311</v>
      </c>
    </row>
    <row r="335" spans="1:1" x14ac:dyDescent="0.45">
      <c r="A335" t="s">
        <v>0</v>
      </c>
    </row>
    <row r="336" spans="1:1" x14ac:dyDescent="0.45">
      <c r="A336" t="s">
        <v>1</v>
      </c>
    </row>
    <row r="337" spans="1:1" x14ac:dyDescent="0.45">
      <c r="A337" t="s">
        <v>90</v>
      </c>
    </row>
    <row r="338" spans="1:1" x14ac:dyDescent="0.45">
      <c r="A338" t="s">
        <v>108</v>
      </c>
    </row>
    <row r="340" spans="1:1" x14ac:dyDescent="0.45">
      <c r="A340" t="s">
        <v>245</v>
      </c>
    </row>
    <row r="341" spans="1:1" x14ac:dyDescent="0.45">
      <c r="A341" t="s">
        <v>246</v>
      </c>
    </row>
    <row r="342" spans="1:1" x14ac:dyDescent="0.45">
      <c r="A342" t="s">
        <v>312</v>
      </c>
    </row>
    <row r="343" spans="1:1" x14ac:dyDescent="0.45">
      <c r="A343" t="s">
        <v>313</v>
      </c>
    </row>
    <row r="344" spans="1:1" x14ac:dyDescent="0.45">
      <c r="A344" t="s">
        <v>314</v>
      </c>
    </row>
    <row r="347" spans="1:1" x14ac:dyDescent="0.45">
      <c r="A347" t="s">
        <v>111</v>
      </c>
    </row>
    <row r="348" spans="1:1" x14ac:dyDescent="0.45">
      <c r="A348" t="s">
        <v>111</v>
      </c>
    </row>
    <row r="349" spans="1:1" x14ac:dyDescent="0.45">
      <c r="A349" t="s">
        <v>111</v>
      </c>
    </row>
    <row r="351" spans="1:1" x14ac:dyDescent="0.45">
      <c r="A351" t="s">
        <v>0</v>
      </c>
    </row>
    <row r="352" spans="1:1" x14ac:dyDescent="0.45">
      <c r="A352" t="s">
        <v>1</v>
      </c>
    </row>
    <row r="353" spans="1:1" x14ac:dyDescent="0.45">
      <c r="A353" t="s">
        <v>112</v>
      </c>
    </row>
    <row r="354" spans="1:1" x14ac:dyDescent="0.45">
      <c r="A354" t="s">
        <v>113</v>
      </c>
    </row>
    <row r="356" spans="1:1" x14ac:dyDescent="0.45">
      <c r="A356" t="s">
        <v>315</v>
      </c>
    </row>
    <row r="357" spans="1:1" x14ac:dyDescent="0.45">
      <c r="A357" t="s">
        <v>316</v>
      </c>
    </row>
    <row r="358" spans="1:1" x14ac:dyDescent="0.45">
      <c r="A358" t="s">
        <v>317</v>
      </c>
    </row>
    <row r="359" spans="1:1" x14ac:dyDescent="0.45">
      <c r="A359" t="s">
        <v>318</v>
      </c>
    </row>
    <row r="360" spans="1:1" x14ac:dyDescent="0.45">
      <c r="A360" t="s">
        <v>319</v>
      </c>
    </row>
    <row r="361" spans="1:1" x14ac:dyDescent="0.45">
      <c r="A361" t="s">
        <v>320</v>
      </c>
    </row>
    <row r="362" spans="1:1" x14ac:dyDescent="0.45">
      <c r="A362" t="s">
        <v>321</v>
      </c>
    </row>
    <row r="363" spans="1:1" x14ac:dyDescent="0.45">
      <c r="A363" t="s">
        <v>322</v>
      </c>
    </row>
    <row r="364" spans="1:1" x14ac:dyDescent="0.45">
      <c r="A364" t="s">
        <v>323</v>
      </c>
    </row>
    <row r="365" spans="1:1" x14ac:dyDescent="0.45">
      <c r="A365" t="s">
        <v>324</v>
      </c>
    </row>
    <row r="366" spans="1:1" x14ac:dyDescent="0.45">
      <c r="A366" t="s">
        <v>325</v>
      </c>
    </row>
    <row r="367" spans="1:1" x14ac:dyDescent="0.45">
      <c r="A367" t="s">
        <v>326</v>
      </c>
    </row>
    <row r="368" spans="1:1" x14ac:dyDescent="0.45">
      <c r="A368" t="s">
        <v>327</v>
      </c>
    </row>
    <row r="369" spans="1:1" x14ac:dyDescent="0.45">
      <c r="A369" t="s">
        <v>328</v>
      </c>
    </row>
    <row r="370" spans="1:1" x14ac:dyDescent="0.45">
      <c r="A370" t="s">
        <v>329</v>
      </c>
    </row>
    <row r="371" spans="1:1" x14ac:dyDescent="0.45">
      <c r="A371" t="s">
        <v>330</v>
      </c>
    </row>
    <row r="372" spans="1:1" x14ac:dyDescent="0.45">
      <c r="A372" t="s">
        <v>331</v>
      </c>
    </row>
    <row r="373" spans="1:1" x14ac:dyDescent="0.45">
      <c r="A373" t="s">
        <v>332</v>
      </c>
    </row>
    <row r="374" spans="1:1" x14ac:dyDescent="0.45">
      <c r="A374" t="s">
        <v>333</v>
      </c>
    </row>
    <row r="375" spans="1:1" x14ac:dyDescent="0.45">
      <c r="A375" t="s">
        <v>334</v>
      </c>
    </row>
    <row r="376" spans="1:1" x14ac:dyDescent="0.45">
      <c r="A376" t="s">
        <v>335</v>
      </c>
    </row>
    <row r="377" spans="1:1" x14ac:dyDescent="0.45">
      <c r="A377" t="s">
        <v>336</v>
      </c>
    </row>
    <row r="378" spans="1:1" x14ac:dyDescent="0.45">
      <c r="A378" t="s">
        <v>337</v>
      </c>
    </row>
    <row r="379" spans="1:1" x14ac:dyDescent="0.45">
      <c r="A379" t="s">
        <v>338</v>
      </c>
    </row>
    <row r="380" spans="1:1" x14ac:dyDescent="0.45">
      <c r="A380" t="s">
        <v>339</v>
      </c>
    </row>
    <row r="381" spans="1:1" x14ac:dyDescent="0.45">
      <c r="A381" t="s">
        <v>340</v>
      </c>
    </row>
    <row r="382" spans="1:1" x14ac:dyDescent="0.45">
      <c r="A382" t="s">
        <v>341</v>
      </c>
    </row>
    <row r="385" spans="1:1" x14ac:dyDescent="0.45">
      <c r="A385" t="s">
        <v>0</v>
      </c>
    </row>
    <row r="386" spans="1:1" x14ac:dyDescent="0.45">
      <c r="A386" t="s">
        <v>1</v>
      </c>
    </row>
    <row r="387" spans="1:1" x14ac:dyDescent="0.45">
      <c r="A387" t="s">
        <v>112</v>
      </c>
    </row>
    <row r="388" spans="1:1" x14ac:dyDescent="0.45">
      <c r="A388" t="s">
        <v>120</v>
      </c>
    </row>
    <row r="390" spans="1:1" x14ac:dyDescent="0.45">
      <c r="A390" t="s">
        <v>293</v>
      </c>
    </row>
    <row r="391" spans="1:1" x14ac:dyDescent="0.45">
      <c r="A391" t="s">
        <v>294</v>
      </c>
    </row>
    <row r="392" spans="1:1" x14ac:dyDescent="0.45">
      <c r="A392" t="s">
        <v>342</v>
      </c>
    </row>
    <row r="393" spans="1:1" x14ac:dyDescent="0.45">
      <c r="A393" t="s">
        <v>343</v>
      </c>
    </row>
    <row r="394" spans="1:1" x14ac:dyDescent="0.45">
      <c r="A394" t="s">
        <v>344</v>
      </c>
    </row>
    <row r="395" spans="1:1" x14ac:dyDescent="0.45">
      <c r="A395" t="s">
        <v>345</v>
      </c>
    </row>
    <row r="396" spans="1:1" x14ac:dyDescent="0.45">
      <c r="A396" t="s">
        <v>346</v>
      </c>
    </row>
    <row r="397" spans="1:1" x14ac:dyDescent="0.45">
      <c r="A397" t="s">
        <v>347</v>
      </c>
    </row>
    <row r="398" spans="1:1" x14ac:dyDescent="0.45">
      <c r="A398" t="s">
        <v>348</v>
      </c>
    </row>
    <row r="403" spans="1:1" x14ac:dyDescent="0.45">
      <c r="A403" t="s">
        <v>0</v>
      </c>
    </row>
    <row r="404" spans="1:1" x14ac:dyDescent="0.45">
      <c r="A404" t="s">
        <v>1</v>
      </c>
    </row>
    <row r="405" spans="1:1" x14ac:dyDescent="0.45">
      <c r="A405" t="s">
        <v>112</v>
      </c>
    </row>
    <row r="406" spans="1:1" x14ac:dyDescent="0.45">
      <c r="A406" t="s">
        <v>122</v>
      </c>
    </row>
    <row r="408" spans="1:1" x14ac:dyDescent="0.45">
      <c r="A408" t="s">
        <v>262</v>
      </c>
    </row>
    <row r="409" spans="1:1" x14ac:dyDescent="0.45">
      <c r="A409" t="s">
        <v>263</v>
      </c>
    </row>
    <row r="410" spans="1:1" x14ac:dyDescent="0.45">
      <c r="A410" t="s">
        <v>349</v>
      </c>
    </row>
    <row r="411" spans="1:1" x14ac:dyDescent="0.45">
      <c r="A411" t="s">
        <v>350</v>
      </c>
    </row>
    <row r="412" spans="1:1" x14ac:dyDescent="0.45">
      <c r="A412" t="s">
        <v>351</v>
      </c>
    </row>
    <row r="413" spans="1:1" x14ac:dyDescent="0.45">
      <c r="A413" t="s">
        <v>352</v>
      </c>
    </row>
    <row r="414" spans="1:1" x14ac:dyDescent="0.45">
      <c r="A414" t="s">
        <v>353</v>
      </c>
    </row>
    <row r="418" spans="1:1" x14ac:dyDescent="0.45">
      <c r="A418" t="s">
        <v>0</v>
      </c>
    </row>
    <row r="419" spans="1:1" x14ac:dyDescent="0.45">
      <c r="A419" t="s">
        <v>1</v>
      </c>
    </row>
    <row r="420" spans="1:1" x14ac:dyDescent="0.45">
      <c r="A420" t="s">
        <v>112</v>
      </c>
    </row>
    <row r="421" spans="1:1" x14ac:dyDescent="0.45">
      <c r="A421" t="s">
        <v>124</v>
      </c>
    </row>
    <row r="423" spans="1:1" x14ac:dyDescent="0.45">
      <c r="A423" t="s">
        <v>262</v>
      </c>
    </row>
    <row r="424" spans="1:1" x14ac:dyDescent="0.45">
      <c r="A424" t="s">
        <v>263</v>
      </c>
    </row>
    <row r="425" spans="1:1" x14ac:dyDescent="0.45">
      <c r="A425" t="s">
        <v>354</v>
      </c>
    </row>
    <row r="426" spans="1:1" x14ac:dyDescent="0.45">
      <c r="A426" t="s">
        <v>355</v>
      </c>
    </row>
    <row r="427" spans="1:1" x14ac:dyDescent="0.45">
      <c r="A427" t="s">
        <v>356</v>
      </c>
    </row>
    <row r="428" spans="1:1" x14ac:dyDescent="0.45">
      <c r="A428" t="s">
        <v>357</v>
      </c>
    </row>
    <row r="429" spans="1:1" x14ac:dyDescent="0.45">
      <c r="A429" t="s">
        <v>358</v>
      </c>
    </row>
    <row r="432" spans="1:1" x14ac:dyDescent="0.45">
      <c r="A432" t="s">
        <v>0</v>
      </c>
    </row>
    <row r="433" spans="1:1" x14ac:dyDescent="0.45">
      <c r="A433" t="s">
        <v>1</v>
      </c>
    </row>
    <row r="434" spans="1:1" x14ac:dyDescent="0.45">
      <c r="A434" t="s">
        <v>112</v>
      </c>
    </row>
    <row r="435" spans="1:1" x14ac:dyDescent="0.45">
      <c r="A435" t="s">
        <v>126</v>
      </c>
    </row>
    <row r="437" spans="1:1" x14ac:dyDescent="0.45">
      <c r="A437" t="s">
        <v>262</v>
      </c>
    </row>
    <row r="438" spans="1:1" x14ac:dyDescent="0.45">
      <c r="A438" t="s">
        <v>263</v>
      </c>
    </row>
    <row r="439" spans="1:1" x14ac:dyDescent="0.45">
      <c r="A439" t="s">
        <v>359</v>
      </c>
    </row>
    <row r="440" spans="1:1" x14ac:dyDescent="0.45">
      <c r="A440" t="s">
        <v>360</v>
      </c>
    </row>
    <row r="444" spans="1:1" x14ac:dyDescent="0.45">
      <c r="A444" t="s">
        <v>0</v>
      </c>
    </row>
    <row r="445" spans="1:1" x14ac:dyDescent="0.45">
      <c r="A445" t="s">
        <v>1</v>
      </c>
    </row>
    <row r="446" spans="1:1" x14ac:dyDescent="0.45">
      <c r="A446" t="s">
        <v>128</v>
      </c>
    </row>
    <row r="447" spans="1:1" x14ac:dyDescent="0.45">
      <c r="A447" t="s">
        <v>129</v>
      </c>
    </row>
    <row r="449" spans="1:1" x14ac:dyDescent="0.45">
      <c r="A449" t="s">
        <v>176</v>
      </c>
    </row>
    <row r="450" spans="1:1" x14ac:dyDescent="0.45">
      <c r="A450" t="s">
        <v>177</v>
      </c>
    </row>
    <row r="451" spans="1:1" x14ac:dyDescent="0.45">
      <c r="A451" t="s">
        <v>361</v>
      </c>
    </row>
    <row r="452" spans="1:1" x14ac:dyDescent="0.45">
      <c r="A452" t="s">
        <v>362</v>
      </c>
    </row>
    <row r="453" spans="1:1" x14ac:dyDescent="0.45">
      <c r="A453" t="s">
        <v>363</v>
      </c>
    </row>
    <row r="454" spans="1:1" x14ac:dyDescent="0.45">
      <c r="A454" t="s">
        <v>364</v>
      </c>
    </row>
    <row r="455" spans="1:1" x14ac:dyDescent="0.45">
      <c r="A455" t="s">
        <v>365</v>
      </c>
    </row>
    <row r="456" spans="1:1" x14ac:dyDescent="0.45">
      <c r="A456" t="s">
        <v>366</v>
      </c>
    </row>
    <row r="457" spans="1:1" x14ac:dyDescent="0.45">
      <c r="A457" t="s">
        <v>367</v>
      </c>
    </row>
    <row r="458" spans="1:1" x14ac:dyDescent="0.45">
      <c r="A458" t="s">
        <v>368</v>
      </c>
    </row>
    <row r="461" spans="1:1" x14ac:dyDescent="0.45">
      <c r="A461" t="s">
        <v>0</v>
      </c>
    </row>
    <row r="462" spans="1:1" x14ac:dyDescent="0.45">
      <c r="A462" t="s">
        <v>1</v>
      </c>
    </row>
    <row r="463" spans="1:1" x14ac:dyDescent="0.45">
      <c r="A463" t="s">
        <v>128</v>
      </c>
    </row>
    <row r="464" spans="1:1" x14ac:dyDescent="0.45">
      <c r="A464" t="s">
        <v>135</v>
      </c>
    </row>
    <row r="466" spans="1:1" x14ac:dyDescent="0.45">
      <c r="A466" t="s">
        <v>293</v>
      </c>
    </row>
    <row r="467" spans="1:1" x14ac:dyDescent="0.45">
      <c r="A467" t="s">
        <v>294</v>
      </c>
    </row>
    <row r="468" spans="1:1" x14ac:dyDescent="0.45">
      <c r="A468" t="s">
        <v>369</v>
      </c>
    </row>
    <row r="469" spans="1:1" x14ac:dyDescent="0.45">
      <c r="A469" t="s">
        <v>370</v>
      </c>
    </row>
    <row r="470" spans="1:1" x14ac:dyDescent="0.45">
      <c r="A470" t="s">
        <v>371</v>
      </c>
    </row>
    <row r="471" spans="1:1" x14ac:dyDescent="0.45">
      <c r="A471" t="s">
        <v>372</v>
      </c>
    </row>
    <row r="472" spans="1:1" x14ac:dyDescent="0.45">
      <c r="A472" t="s">
        <v>373</v>
      </c>
    </row>
    <row r="473" spans="1:1" x14ac:dyDescent="0.45">
      <c r="A473" t="s">
        <v>374</v>
      </c>
    </row>
    <row r="474" spans="1:1" x14ac:dyDescent="0.45">
      <c r="A474" t="s">
        <v>375</v>
      </c>
    </row>
    <row r="477" spans="1:1" x14ac:dyDescent="0.45">
      <c r="A477" t="s">
        <v>0</v>
      </c>
    </row>
    <row r="478" spans="1:1" x14ac:dyDescent="0.45">
      <c r="A478" t="s">
        <v>1</v>
      </c>
    </row>
    <row r="479" spans="1:1" x14ac:dyDescent="0.45">
      <c r="A479" t="s">
        <v>128</v>
      </c>
    </row>
    <row r="480" spans="1:1" x14ac:dyDescent="0.45">
      <c r="A480" t="s">
        <v>137</v>
      </c>
    </row>
    <row r="482" spans="1:1" x14ac:dyDescent="0.45">
      <c r="A482" t="s">
        <v>262</v>
      </c>
    </row>
    <row r="483" spans="1:1" x14ac:dyDescent="0.45">
      <c r="A483" t="s">
        <v>263</v>
      </c>
    </row>
    <row r="484" spans="1:1" x14ac:dyDescent="0.45">
      <c r="A484" t="s">
        <v>376</v>
      </c>
    </row>
    <row r="485" spans="1:1" x14ac:dyDescent="0.45">
      <c r="A485" t="s">
        <v>377</v>
      </c>
    </row>
    <row r="486" spans="1:1" x14ac:dyDescent="0.45">
      <c r="A486" t="s">
        <v>378</v>
      </c>
    </row>
    <row r="487" spans="1:1" x14ac:dyDescent="0.45">
      <c r="A487" t="s">
        <v>379</v>
      </c>
    </row>
    <row r="488" spans="1:1" x14ac:dyDescent="0.45">
      <c r="A488" t="s">
        <v>380</v>
      </c>
    </row>
    <row r="491" spans="1:1" x14ac:dyDescent="0.45">
      <c r="A491" t="s">
        <v>0</v>
      </c>
    </row>
    <row r="492" spans="1:1" x14ac:dyDescent="0.45">
      <c r="A492" t="s">
        <v>1</v>
      </c>
    </row>
    <row r="493" spans="1:1" x14ac:dyDescent="0.45">
      <c r="A493" t="s">
        <v>128</v>
      </c>
    </row>
    <row r="494" spans="1:1" x14ac:dyDescent="0.45">
      <c r="A494" t="s">
        <v>139</v>
      </c>
    </row>
    <row r="496" spans="1:1" x14ac:dyDescent="0.45">
      <c r="A496" t="s">
        <v>262</v>
      </c>
    </row>
    <row r="497" spans="1:1" x14ac:dyDescent="0.45">
      <c r="A497" t="s">
        <v>263</v>
      </c>
    </row>
    <row r="498" spans="1:1" x14ac:dyDescent="0.45">
      <c r="A498" t="s">
        <v>381</v>
      </c>
    </row>
    <row r="499" spans="1:1" x14ac:dyDescent="0.45">
      <c r="A499" t="s">
        <v>382</v>
      </c>
    </row>
    <row r="502" spans="1:1" x14ac:dyDescent="0.45">
      <c r="A502" t="s">
        <v>0</v>
      </c>
    </row>
    <row r="503" spans="1:1" x14ac:dyDescent="0.45">
      <c r="A503" t="s">
        <v>1</v>
      </c>
    </row>
    <row r="504" spans="1:1" x14ac:dyDescent="0.45">
      <c r="A504" t="s">
        <v>128</v>
      </c>
    </row>
    <row r="505" spans="1:1" x14ac:dyDescent="0.45">
      <c r="A505" t="s">
        <v>141</v>
      </c>
    </row>
    <row r="507" spans="1:1" x14ac:dyDescent="0.45">
      <c r="A507" t="s">
        <v>245</v>
      </c>
    </row>
    <row r="508" spans="1:1" x14ac:dyDescent="0.45">
      <c r="A508" t="s">
        <v>246</v>
      </c>
    </row>
    <row r="509" spans="1:1" x14ac:dyDescent="0.45">
      <c r="A509" t="s">
        <v>383</v>
      </c>
    </row>
    <row r="510" spans="1:1" x14ac:dyDescent="0.45">
      <c r="A510" t="s">
        <v>384</v>
      </c>
    </row>
    <row r="511" spans="1:1" x14ac:dyDescent="0.45">
      <c r="A511" t="s">
        <v>385</v>
      </c>
    </row>
    <row r="512" spans="1:1" x14ac:dyDescent="0.45">
      <c r="A512" t="s">
        <v>386</v>
      </c>
    </row>
    <row r="515" spans="1:1" x14ac:dyDescent="0.45">
      <c r="A515" t="s">
        <v>0</v>
      </c>
    </row>
    <row r="516" spans="1:1" x14ac:dyDescent="0.45">
      <c r="A516" t="s">
        <v>1</v>
      </c>
    </row>
    <row r="517" spans="1:1" x14ac:dyDescent="0.45">
      <c r="A517" t="s">
        <v>128</v>
      </c>
    </row>
    <row r="518" spans="1:1" x14ac:dyDescent="0.45">
      <c r="A518" t="s">
        <v>143</v>
      </c>
    </row>
    <row r="520" spans="1:1" x14ac:dyDescent="0.45">
      <c r="A520" t="s">
        <v>262</v>
      </c>
    </row>
    <row r="521" spans="1:1" x14ac:dyDescent="0.45">
      <c r="A521" t="s">
        <v>263</v>
      </c>
    </row>
    <row r="522" spans="1:1" x14ac:dyDescent="0.45">
      <c r="A522" t="s">
        <v>387</v>
      </c>
    </row>
    <row r="523" spans="1:1" x14ac:dyDescent="0.45">
      <c r="A523" t="s">
        <v>388</v>
      </c>
    </row>
    <row r="524" spans="1:1" x14ac:dyDescent="0.45">
      <c r="A524" t="s">
        <v>389</v>
      </c>
    </row>
    <row r="525" spans="1:1" x14ac:dyDescent="0.45">
      <c r="A525" t="s">
        <v>390</v>
      </c>
    </row>
    <row r="528" spans="1:1" x14ac:dyDescent="0.45">
      <c r="A528" t="s">
        <v>145</v>
      </c>
    </row>
    <row r="529" spans="1:1" x14ac:dyDescent="0.45">
      <c r="A529" t="s">
        <v>145</v>
      </c>
    </row>
    <row r="530" spans="1:1" x14ac:dyDescent="0.45">
      <c r="A530" t="s">
        <v>145</v>
      </c>
    </row>
    <row r="532" spans="1:1" x14ac:dyDescent="0.45">
      <c r="A532" t="s">
        <v>0</v>
      </c>
    </row>
    <row r="533" spans="1:1" x14ac:dyDescent="0.45">
      <c r="A533" t="s">
        <v>1</v>
      </c>
    </row>
    <row r="534" spans="1:1" x14ac:dyDescent="0.45">
      <c r="A534" t="s">
        <v>146</v>
      </c>
    </row>
    <row r="535" spans="1:1" x14ac:dyDescent="0.45">
      <c r="A535" t="s">
        <v>147</v>
      </c>
    </row>
    <row r="537" spans="1:1" x14ac:dyDescent="0.45">
      <c r="A537" t="s">
        <v>315</v>
      </c>
    </row>
    <row r="538" spans="1:1" x14ac:dyDescent="0.45">
      <c r="A538" t="s">
        <v>316</v>
      </c>
    </row>
    <row r="539" spans="1:1" x14ac:dyDescent="0.45">
      <c r="A539" t="s">
        <v>391</v>
      </c>
    </row>
    <row r="540" spans="1:1" x14ac:dyDescent="0.45">
      <c r="A540" t="s">
        <v>392</v>
      </c>
    </row>
    <row r="541" spans="1:1" x14ac:dyDescent="0.45">
      <c r="A541" t="s">
        <v>393</v>
      </c>
    </row>
    <row r="542" spans="1:1" x14ac:dyDescent="0.45">
      <c r="A542" t="s">
        <v>394</v>
      </c>
    </row>
    <row r="543" spans="1:1" x14ac:dyDescent="0.45">
      <c r="A543" t="s">
        <v>395</v>
      </c>
    </row>
    <row r="544" spans="1:1" x14ac:dyDescent="0.45">
      <c r="A544" t="s">
        <v>396</v>
      </c>
    </row>
    <row r="545" spans="1:1" x14ac:dyDescent="0.45">
      <c r="A545" t="s">
        <v>397</v>
      </c>
    </row>
    <row r="546" spans="1:1" x14ac:dyDescent="0.45">
      <c r="A546" t="s">
        <v>398</v>
      </c>
    </row>
    <row r="547" spans="1:1" x14ac:dyDescent="0.45">
      <c r="A547" t="s">
        <v>399</v>
      </c>
    </row>
    <row r="548" spans="1:1" x14ac:dyDescent="0.45">
      <c r="A548" t="s">
        <v>400</v>
      </c>
    </row>
    <row r="549" spans="1:1" x14ac:dyDescent="0.45">
      <c r="A549" t="s">
        <v>401</v>
      </c>
    </row>
    <row r="550" spans="1:1" x14ac:dyDescent="0.45">
      <c r="A550" t="s">
        <v>402</v>
      </c>
    </row>
    <row r="551" spans="1:1" x14ac:dyDescent="0.45">
      <c r="A551" t="s">
        <v>403</v>
      </c>
    </row>
    <row r="552" spans="1:1" x14ac:dyDescent="0.45">
      <c r="A552" t="s">
        <v>404</v>
      </c>
    </row>
    <row r="555" spans="1:1" x14ac:dyDescent="0.45">
      <c r="A555" t="s">
        <v>0</v>
      </c>
    </row>
    <row r="556" spans="1:1" x14ac:dyDescent="0.45">
      <c r="A556" t="s">
        <v>1</v>
      </c>
    </row>
    <row r="557" spans="1:1" x14ac:dyDescent="0.45">
      <c r="A557" t="s">
        <v>146</v>
      </c>
    </row>
    <row r="558" spans="1:1" x14ac:dyDescent="0.45">
      <c r="A558" t="s">
        <v>151</v>
      </c>
    </row>
    <row r="560" spans="1:1" x14ac:dyDescent="0.45">
      <c r="A560" t="s">
        <v>293</v>
      </c>
    </row>
    <row r="561" spans="1:1" x14ac:dyDescent="0.45">
      <c r="A561" t="s">
        <v>294</v>
      </c>
    </row>
    <row r="562" spans="1:1" x14ac:dyDescent="0.45">
      <c r="A562" t="s">
        <v>405</v>
      </c>
    </row>
    <row r="563" spans="1:1" x14ac:dyDescent="0.45">
      <c r="A563" t="s">
        <v>406</v>
      </c>
    </row>
    <row r="564" spans="1:1" x14ac:dyDescent="0.45">
      <c r="A564" t="s">
        <v>407</v>
      </c>
    </row>
    <row r="565" spans="1:1" x14ac:dyDescent="0.45">
      <c r="A565" t="s">
        <v>408</v>
      </c>
    </row>
    <row r="566" spans="1:1" x14ac:dyDescent="0.45">
      <c r="A566" t="s">
        <v>409</v>
      </c>
    </row>
    <row r="567" spans="1:1" x14ac:dyDescent="0.45">
      <c r="A567" t="s">
        <v>410</v>
      </c>
    </row>
    <row r="568" spans="1:1" x14ac:dyDescent="0.45">
      <c r="A568" t="s">
        <v>411</v>
      </c>
    </row>
    <row r="569" spans="1:1" x14ac:dyDescent="0.45">
      <c r="A569" t="s">
        <v>412</v>
      </c>
    </row>
    <row r="573" spans="1:1" x14ac:dyDescent="0.45">
      <c r="A573" t="s">
        <v>0</v>
      </c>
    </row>
    <row r="574" spans="1:1" x14ac:dyDescent="0.45">
      <c r="A574" t="s">
        <v>1</v>
      </c>
    </row>
    <row r="575" spans="1:1" x14ac:dyDescent="0.45">
      <c r="A575" t="s">
        <v>154</v>
      </c>
    </row>
    <row r="576" spans="1:1" x14ac:dyDescent="0.45">
      <c r="A576" t="s">
        <v>155</v>
      </c>
    </row>
    <row r="578" spans="1:1" x14ac:dyDescent="0.45">
      <c r="A578" t="s">
        <v>413</v>
      </c>
    </row>
    <row r="579" spans="1:1" x14ac:dyDescent="0.45">
      <c r="A579" t="s">
        <v>414</v>
      </c>
    </row>
    <row r="580" spans="1:1" x14ac:dyDescent="0.45">
      <c r="A580" t="s">
        <v>415</v>
      </c>
    </row>
    <row r="581" spans="1:1" x14ac:dyDescent="0.45">
      <c r="A581" t="s">
        <v>416</v>
      </c>
    </row>
    <row r="582" spans="1:1" x14ac:dyDescent="0.45">
      <c r="A582" t="s">
        <v>417</v>
      </c>
    </row>
    <row r="583" spans="1:1" x14ac:dyDescent="0.45">
      <c r="A583" t="s">
        <v>418</v>
      </c>
    </row>
    <row r="584" spans="1:1" x14ac:dyDescent="0.45">
      <c r="A584" t="s">
        <v>419</v>
      </c>
    </row>
    <row r="585" spans="1:1" x14ac:dyDescent="0.45">
      <c r="A585" t="s">
        <v>420</v>
      </c>
    </row>
    <row r="586" spans="1:1" x14ac:dyDescent="0.45">
      <c r="A586" t="s">
        <v>421</v>
      </c>
    </row>
    <row r="587" spans="1:1" x14ac:dyDescent="0.45">
      <c r="A587" t="s">
        <v>422</v>
      </c>
    </row>
    <row r="588" spans="1:1" x14ac:dyDescent="0.45">
      <c r="A588" t="s">
        <v>423</v>
      </c>
    </row>
    <row r="589" spans="1:1" x14ac:dyDescent="0.45">
      <c r="A589" t="s">
        <v>424</v>
      </c>
    </row>
    <row r="590" spans="1:1" x14ac:dyDescent="0.45">
      <c r="A590" t="s">
        <v>425</v>
      </c>
    </row>
    <row r="594" spans="1:1" x14ac:dyDescent="0.45">
      <c r="A594" t="s">
        <v>0</v>
      </c>
    </row>
    <row r="595" spans="1:1" x14ac:dyDescent="0.45">
      <c r="A595" t="s">
        <v>1</v>
      </c>
    </row>
    <row r="596" spans="1:1" x14ac:dyDescent="0.45">
      <c r="A596" t="s">
        <v>154</v>
      </c>
    </row>
    <row r="597" spans="1:1" x14ac:dyDescent="0.45">
      <c r="A597" t="s">
        <v>161</v>
      </c>
    </row>
    <row r="599" spans="1:1" x14ac:dyDescent="0.45">
      <c r="A599" t="s">
        <v>426</v>
      </c>
    </row>
    <row r="600" spans="1:1" x14ac:dyDescent="0.45">
      <c r="A600" t="s">
        <v>427</v>
      </c>
    </row>
    <row r="601" spans="1:1" x14ac:dyDescent="0.45">
      <c r="A601" t="s">
        <v>428</v>
      </c>
    </row>
    <row r="602" spans="1:1" x14ac:dyDescent="0.45">
      <c r="A602" t="s">
        <v>429</v>
      </c>
    </row>
    <row r="603" spans="1:1" x14ac:dyDescent="0.45">
      <c r="A603" t="s">
        <v>430</v>
      </c>
    </row>
    <row r="604" spans="1:1" x14ac:dyDescent="0.45">
      <c r="A604" t="s">
        <v>431</v>
      </c>
    </row>
    <row r="605" spans="1:1" x14ac:dyDescent="0.45">
      <c r="A605" t="s">
        <v>432</v>
      </c>
    </row>
    <row r="606" spans="1:1" x14ac:dyDescent="0.45">
      <c r="A606" t="s">
        <v>433</v>
      </c>
    </row>
    <row r="607" spans="1:1" x14ac:dyDescent="0.45">
      <c r="A607" t="s">
        <v>434</v>
      </c>
    </row>
    <row r="608" spans="1:1" x14ac:dyDescent="0.45">
      <c r="A608" t="s">
        <v>435</v>
      </c>
    </row>
    <row r="609" spans="1:1" x14ac:dyDescent="0.45">
      <c r="A609" t="s">
        <v>436</v>
      </c>
    </row>
    <row r="610" spans="1:1" x14ac:dyDescent="0.45">
      <c r="A610" t="s">
        <v>437</v>
      </c>
    </row>
    <row r="611" spans="1:1" x14ac:dyDescent="0.45">
      <c r="A611" t="s">
        <v>438</v>
      </c>
    </row>
    <row r="612" spans="1:1" x14ac:dyDescent="0.45">
      <c r="A612" t="s">
        <v>439</v>
      </c>
    </row>
    <row r="613" spans="1:1" x14ac:dyDescent="0.45">
      <c r="A613" t="s">
        <v>440</v>
      </c>
    </row>
    <row r="614" spans="1:1" x14ac:dyDescent="0.45">
      <c r="A614" t="s">
        <v>441</v>
      </c>
    </row>
    <row r="615" spans="1:1" x14ac:dyDescent="0.45">
      <c r="A615" t="s">
        <v>442</v>
      </c>
    </row>
    <row r="616" spans="1:1" x14ac:dyDescent="0.45">
      <c r="A616" t="s">
        <v>443</v>
      </c>
    </row>
    <row r="620" spans="1:1" x14ac:dyDescent="0.45">
      <c r="A620" t="s">
        <v>0</v>
      </c>
    </row>
    <row r="621" spans="1:1" x14ac:dyDescent="0.45">
      <c r="A621" t="s">
        <v>1</v>
      </c>
    </row>
    <row r="622" spans="1:1" x14ac:dyDescent="0.45">
      <c r="A622" t="s">
        <v>154</v>
      </c>
    </row>
    <row r="623" spans="1:1" x14ac:dyDescent="0.45">
      <c r="A623" t="s">
        <v>168</v>
      </c>
    </row>
    <row r="625" spans="1:1" x14ac:dyDescent="0.45">
      <c r="A625" t="s">
        <v>221</v>
      </c>
    </row>
    <row r="626" spans="1:1" x14ac:dyDescent="0.45">
      <c r="A626" t="s">
        <v>222</v>
      </c>
    </row>
    <row r="627" spans="1:1" x14ac:dyDescent="0.45">
      <c r="A627" t="s">
        <v>444</v>
      </c>
    </row>
    <row r="628" spans="1:1" x14ac:dyDescent="0.45">
      <c r="A628" t="s">
        <v>445</v>
      </c>
    </row>
    <row r="629" spans="1:1" x14ac:dyDescent="0.45">
      <c r="A629" t="s">
        <v>446</v>
      </c>
    </row>
    <row r="630" spans="1:1" x14ac:dyDescent="0.45">
      <c r="A630" t="s">
        <v>447</v>
      </c>
    </row>
    <row r="635" spans="1:1" x14ac:dyDescent="0.45">
      <c r="A635" t="s">
        <v>0</v>
      </c>
    </row>
    <row r="636" spans="1:1" x14ac:dyDescent="0.45">
      <c r="A636" t="s">
        <v>1</v>
      </c>
    </row>
    <row r="637" spans="1:1" x14ac:dyDescent="0.45">
      <c r="A637" t="s">
        <v>146</v>
      </c>
    </row>
    <row r="638" spans="1:1" x14ac:dyDescent="0.45">
      <c r="A638" t="s">
        <v>174</v>
      </c>
    </row>
    <row r="640" spans="1:1" x14ac:dyDescent="0.45">
      <c r="A640" t="s">
        <v>245</v>
      </c>
    </row>
    <row r="641" spans="1:1" x14ac:dyDescent="0.45">
      <c r="A641" t="s">
        <v>246</v>
      </c>
    </row>
    <row r="642" spans="1:1" x14ac:dyDescent="0.45">
      <c r="A642" t="s">
        <v>448</v>
      </c>
    </row>
    <row r="643" spans="1:1" x14ac:dyDescent="0.45">
      <c r="A643" t="s">
        <v>449</v>
      </c>
    </row>
    <row r="644" spans="1:1" x14ac:dyDescent="0.45">
      <c r="A644" t="s">
        <v>450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d637b7-73e1-4725-bfa5-bfa3b6b46972">
      <Terms xmlns="http://schemas.microsoft.com/office/infopath/2007/PartnerControls"/>
    </lcf76f155ced4ddcb4097134ff3c332f>
    <TaxCatchAll xmlns="5b74716f-c90e-48cf-8e50-88a7293ef179" xsi:nil="true"/>
    <DataCria_x00e7__x00e3_o xmlns="c8d637b7-73e1-4725-bfa5-bfa3b6b469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0BCE3F2679AB4F81A1C1AAB390EA97" ma:contentTypeVersion="19" ma:contentTypeDescription="Crie um novo documento." ma:contentTypeScope="" ma:versionID="202283593c1654ad81b96136a0f80a56">
  <xsd:schema xmlns:xsd="http://www.w3.org/2001/XMLSchema" xmlns:xs="http://www.w3.org/2001/XMLSchema" xmlns:p="http://schemas.microsoft.com/office/2006/metadata/properties" xmlns:ns2="c8d637b7-73e1-4725-bfa5-bfa3b6b46972" xmlns:ns3="5b74716f-c90e-48cf-8e50-88a7293ef179" targetNamespace="http://schemas.microsoft.com/office/2006/metadata/properties" ma:root="true" ma:fieldsID="0db7faba70c9abca6ffb008d3b50e701" ns2:_="" ns3:_="">
    <xsd:import namespace="c8d637b7-73e1-4725-bfa5-bfa3b6b46972"/>
    <xsd:import namespace="5b74716f-c90e-48cf-8e50-88a7293ef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aCri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637b7-73e1-4725-bfa5-bfa3b6b46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968e3f-c370-4446-a4ce-fc562ebc6e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Cria_x00e7__x00e3_o" ma:index="26" nillable="true" ma:displayName="Data Criação" ma:format="DateTime" ma:internalName="DataCria_x00e7__x00e3_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4716f-c90e-48cf-8e50-88a7293ef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27118d-0169-4cf7-801f-1209e11bd64b}" ma:internalName="TaxCatchAll" ma:showField="CatchAllData" ma:web="5b74716f-c90e-48cf-8e50-88a7293ef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DA0A1-AFFC-4762-8B67-685F82F762F9}">
  <ds:schemaRefs>
    <ds:schemaRef ds:uri="http://schemas.microsoft.com/office/2006/metadata/properties"/>
    <ds:schemaRef ds:uri="http://schemas.microsoft.com/office/infopath/2007/PartnerControls"/>
    <ds:schemaRef ds:uri="c8d637b7-73e1-4725-bfa5-bfa3b6b46972"/>
    <ds:schemaRef ds:uri="5b74716f-c90e-48cf-8e50-88a7293ef179"/>
  </ds:schemaRefs>
</ds:datastoreItem>
</file>

<file path=customXml/itemProps2.xml><?xml version="1.0" encoding="utf-8"?>
<ds:datastoreItem xmlns:ds="http://schemas.openxmlformats.org/officeDocument/2006/customXml" ds:itemID="{904E230F-064F-42B8-A449-95176128F8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51B53-C87D-4935-A213-78D1C625E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637b7-73e1-4725-bfa5-bfa3b6b46972"/>
    <ds:schemaRef ds:uri="5b74716f-c90e-48cf-8e50-88a7293ef1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Deusmar  Rodrigues | Engenharia | GMX</dc:creator>
  <cp:lastModifiedBy>Deusmar  Rodrigues | Engenharia | GMX</cp:lastModifiedBy>
  <dcterms:created xsi:type="dcterms:W3CDTF">2026-02-04T21:37:38Z</dcterms:created>
  <dcterms:modified xsi:type="dcterms:W3CDTF">2026-02-05T18:44:12Z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0x010100510BCE3F2679AB4F81A1C1AAB390EA97</vt:lpwstr>
  </property>
</Properties>
</file>